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R1,RR2" sheetId="1" state="visible" r:id="rId2"/>
    <sheet name="RR3 properties" sheetId="2" state="visible" r:id="rId3"/>
    <sheet name="SR properties" sheetId="3" state="visible" r:id="rId4"/>
    <sheet name="CD Zones Unused Zoning" sheetId="4" state="visible" r:id="rId5"/>
    <sheet name="Summary" sheetId="5"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<sst xmlns="http://schemas.openxmlformats.org/spreadsheetml/2006/main" count="9006" uniqueCount="3633">
  <si>
    <t xml:space="preserve">objectid</t>
  </si>
  <si>
    <t xml:space="preserve">pid</t>
  </si>
  <si>
    <t xml:space="preserve">parcelclass</t>
  </si>
  <si>
    <t xml:space="preserve">legaldescription</t>
  </si>
  <si>
    <t xml:space="preserve">ownertype</t>
  </si>
  <si>
    <t xml:space="preserve">Shape__Area</t>
  </si>
  <si>
    <t xml:space="preserve">area_sqm</t>
  </si>
  <si>
    <t xml:space="preserve">Zone</t>
  </si>
  <si>
    <t xml:space="preserve">zoning size (ha)</t>
  </si>
  <si>
    <t xml:space="preserve">Area ha</t>
  </si>
  <si>
    <t xml:space="preserve">Can Subdivide?</t>
  </si>
  <si>
    <t xml:space="preserve">027365891</t>
  </si>
  <si>
    <t xml:space="preserve">SUBDIVISION</t>
  </si>
  <si>
    <t xml:space="preserve">LOT A DISTRICT LOT 492 GROUP 1 NEW WESTMINSTER DISTRICT PLAN BCP34106</t>
  </si>
  <si>
    <t xml:space="preserve">PRIVATE</t>
  </si>
  <si>
    <t xml:space="preserve">RR1</t>
  </si>
  <si>
    <t xml:space="preserve">017228441</t>
  </si>
  <si>
    <t xml:space="preserve">BLOCK A DISTRICT LOT 295 GROUP 1 NEW WESTMINSTER DISTRICT SEE CROWN GRANT AS TO LIMITED ACCESS</t>
  </si>
  <si>
    <t xml:space="preserve">015026710</t>
  </si>
  <si>
    <t xml:space="preserve">LOT 2 BLOCK D DISTRICT LOT 492 PLAN 22501</t>
  </si>
  <si>
    <t xml:space="preserve">016365704</t>
  </si>
  <si>
    <t xml:space="preserve">LOT 2 BLOCK B DISTRICT LOT 1346 PLAN 22963</t>
  </si>
  <si>
    <t xml:space="preserve">023527030</t>
  </si>
  <si>
    <t xml:space="preserve">LOT A BLOCK B DISTRICT LOT 492 GROUP 1 NEW WESTMINSTER DISTRICT PLAN LMP29403</t>
  </si>
  <si>
    <t xml:space="preserve">017822840</t>
  </si>
  <si>
    <t xml:space="preserve">BLOCK A DISTRICT LOT 2073 GROUP 1 NEW WESTMINSTER DISTRICT</t>
  </si>
  <si>
    <t xml:space="preserve">007439369</t>
  </si>
  <si>
    <t xml:space="preserve">LOT 132 BLOCKS B AND E DISTRICT LOT 492 PLAN 16558</t>
  </si>
  <si>
    <t xml:space="preserve">026953731</t>
  </si>
  <si>
    <t xml:space="preserve">LOT 10 DISTRICT LOT 1426 GROUP 1 NEW WESTMINSTER DISTRICT PLAN BCP28180</t>
  </si>
  <si>
    <t xml:space="preserve">017793483</t>
  </si>
  <si>
    <t xml:space="preserve">LOT C BLOCK C DISTRICT LOT 492 PLAN LMP4859</t>
  </si>
  <si>
    <t xml:space="preserve">015026701</t>
  </si>
  <si>
    <t xml:space="preserve">LOT 1 BLOCK D DISTRICT LOT 492 PLAN 22501</t>
  </si>
  <si>
    <t xml:space="preserve">028132441</t>
  </si>
  <si>
    <t xml:space="preserve">LOT 41 DISTRICT LOT 1548 GROUP 1 NEW WESTMINSTER DISTRICT PLAN BCP43265</t>
  </si>
  <si>
    <t xml:space="preserve">028132483</t>
  </si>
  <si>
    <t xml:space="preserve">LOT 45 DISTRICT LOT 1548 GROUP 1 NEW WESTMINSTER DISTRICT PLAN BCP43265</t>
  </si>
  <si>
    <t xml:space="preserve">028132513</t>
  </si>
  <si>
    <t xml:space="preserve">LOT 48 DISTRICT LOT 1548 GROUP 1 NEW WESTMINSTER DISTRICT PLAN BCP43265</t>
  </si>
  <si>
    <t xml:space="preserve">018395309</t>
  </si>
  <si>
    <t xml:space="preserve">DISTRICT LOT 584 GROUP 1 NEW WESTMINSTER DISTRICT</t>
  </si>
  <si>
    <t xml:space="preserve">018279864</t>
  </si>
  <si>
    <t xml:space="preserve">BLOCK B DISTRICT LOT 295 GROUP 1 NEW WESTMINSTER DISTRICT</t>
  </si>
  <si>
    <t xml:space="preserve">028132505</t>
  </si>
  <si>
    <t xml:space="preserve">LOT 47 DISTRICT LOT 1548 GROUP 1 NEW WESTMINSTER DISTRICT PLAN BCP43265</t>
  </si>
  <si>
    <t xml:space="preserve">005486475</t>
  </si>
  <si>
    <t xml:space="preserve">LOT 2 BLOCK D DISTRICT LOT 492 PLAN 21034</t>
  </si>
  <si>
    <t xml:space="preserve">015026728</t>
  </si>
  <si>
    <t xml:space="preserve">LOT 3 BLOCK D DISTRICT LOT 492 PLAN 22501</t>
  </si>
  <si>
    <t xml:space="preserve">028132491</t>
  </si>
  <si>
    <t xml:space="preserve">LOT 46 DISTRICT LOT 1548 GROUP 1 NEW WESTMINSTER DISTRICT PLAN BCP43265</t>
  </si>
  <si>
    <t xml:space="preserve">003494594</t>
  </si>
  <si>
    <t xml:space="preserve">LOT 25 DISTRICT LOT 1628 PLAN 8645</t>
  </si>
  <si>
    <t xml:space="preserve">023493755</t>
  </si>
  <si>
    <t xml:space="preserve">DISTRICT LOT 2375 GROUP 1 NEW WESTMINSTER DISTRICT</t>
  </si>
  <si>
    <t xml:space="preserve">018226710</t>
  </si>
  <si>
    <t xml:space="preserve">BLOCK B DISTRICT LOT 2073 GROUP 1 NEW WESTMINSTER DISTRICT</t>
  </si>
  <si>
    <t xml:space="preserve">005486467</t>
  </si>
  <si>
    <t xml:space="preserve">LOT 1 BLOCK D DISTRICT LOT 492 PLAN 21034</t>
  </si>
  <si>
    <t xml:space="preserve">028132459</t>
  </si>
  <si>
    <t xml:space="preserve">LOT 42 DISTRICT LOT 1548 GROUP 1 NEW WESTMINSTER DISTRICT PLAN BCP43265</t>
  </si>
  <si>
    <t xml:space="preserve">015026744</t>
  </si>
  <si>
    <t xml:space="preserve">LOT 4 BLOCK D DISTRICT LOT 492 PLAN 22501</t>
  </si>
  <si>
    <t xml:space="preserve">007317956</t>
  </si>
  <si>
    <t xml:space="preserve">LOT 135 BLOCK B DISTRICT LOT 492 PLAN 17030</t>
  </si>
  <si>
    <t xml:space="preserve">015980308</t>
  </si>
  <si>
    <t xml:space="preserve">DISTRICT LOT 446 GROUP 1 NEW WESTMINSTER DISTRICT</t>
  </si>
  <si>
    <t xml:space="preserve">027822168</t>
  </si>
  <si>
    <t xml:space="preserve">LOT 1 BLOCK B DISTRICT LOT 1412 GROUP 1 NEW WESTMINSTER DISTRICT PLAN BCP39854 (SEE PLAN AS TO LIMITED ACCESS)</t>
  </si>
  <si>
    <t xml:space="preserve">017277477</t>
  </si>
  <si>
    <t xml:space="preserve">DISTRICT LOT 1208 GROUP 1 NEW WESTMINSTER DISTRICT</t>
  </si>
  <si>
    <t xml:space="preserve">015950204</t>
  </si>
  <si>
    <t xml:space="preserve">DISTRICT LOT 2683 GROUP 1 NEW WESTMINSTER DISTRICT</t>
  </si>
  <si>
    <t xml:space="preserve">028132467</t>
  </si>
  <si>
    <t xml:space="preserve">LOT 43 DISTRICT LOT 1548 GROUP 1 NEW WESTMINSTER DISTRICT PLAN BCP43265</t>
  </si>
  <si>
    <t xml:space="preserve">017136351</t>
  </si>
  <si>
    <t xml:space="preserve">BLOCK B DISTRICT LOT 585 GROUP 1 NEW WESTMINSTER DISTRICT (SEE CROWN GRANT GE16325 AS TO LIMITED ACCESS)</t>
  </si>
  <si>
    <t xml:space="preserve">018790852</t>
  </si>
  <si>
    <t xml:space="preserve">LOT B DISTRICT LOT 2956 PLAN LMP17136</t>
  </si>
  <si>
    <t xml:space="preserve">018790844</t>
  </si>
  <si>
    <t xml:space="preserve">LOT A DISTRICT LOT 2956 PLAN LMP17136</t>
  </si>
  <si>
    <t xml:space="preserve">017134251</t>
  </si>
  <si>
    <t xml:space="preserve">DISTRICT LOT 7284 GROUP 1 NEW WESTMINSTER DISTRICT SEE CROWN GRANT AS TO LIMITED ACCESS</t>
  </si>
  <si>
    <t xml:space="preserve">023751771</t>
  </si>
  <si>
    <t xml:space="preserve">BLOCK A DISTRICT LOT 585 GROUP 1 NEW WESTMINSTER DISTRICT</t>
  </si>
  <si>
    <t xml:space="preserve">008778001</t>
  </si>
  <si>
    <t xml:space="preserve">LOT 1 BLOCK A3 DISTRICT LOT 1334 PLAN 12827</t>
  </si>
  <si>
    <t xml:space="preserve">006324177</t>
  </si>
  <si>
    <t xml:space="preserve">BARE LAND STRATA</t>
  </si>
  <si>
    <t xml:space="preserve">STRATA LOT 1 DISTRICT LOT 1627 STRATA PLAN VR. 1809 TOGETHER WITH AN INTEREST IN THE COMMON PROPERTY IN PROPORTION TO THE UNIT ENTITLEMENT OF THE STRATA LOT AS SHOWN ON FORM 1.</t>
  </si>
  <si>
    <t xml:space="preserve">006324193</t>
  </si>
  <si>
    <t xml:space="preserve">STRATA LOT 2 DISTRICT LOT 1627 STRATA PLAN VR. 1809 TOGETHER WITH AN INTEREST IN THE COMMON PROPERTY IN PROPORTION TO THE UNIT ENTITLEMENT OF THE STRATA LOT AS SHOWN ON FORM 1.</t>
  </si>
  <si>
    <t xml:space="preserve">007626941</t>
  </si>
  <si>
    <t xml:space="preserve">LOT 1 BLOCK 30 DISTRICT LOT 1628 PLAN 15765</t>
  </si>
  <si>
    <t xml:space="preserve">018231748</t>
  </si>
  <si>
    <t xml:space="preserve">LOT A BLOCK 29 DISTRICT LOT 1628 PLAN LMP10156</t>
  </si>
  <si>
    <t xml:space="preserve">002759551</t>
  </si>
  <si>
    <t xml:space="preserve">LOT A DISTRICT LOT 1628 PLAN 20418</t>
  </si>
  <si>
    <t xml:space="preserve">006963986</t>
  </si>
  <si>
    <t xml:space="preserve">LOT A BLOCK 26 DISTRICT LOT 1628 PLAN 19741</t>
  </si>
  <si>
    <t xml:space="preserve">017228646</t>
  </si>
  <si>
    <t xml:space="preserve">BLOCK J DISTRICT LOT 2407 GROUP 1 NEW WESTMINSTER DISTRICT SEE CROWN GRANT AS TO LIMITED ACCESS</t>
  </si>
  <si>
    <t xml:space="preserve">017320925</t>
  </si>
  <si>
    <t xml:space="preserve">STRATA LOT 7 DISTRICT LOT 1605 STRATA PLAN VAS2806 TOGETHER WITH AN INTEREST IN THE COMMON PROPERTY IN PROPORTION TO THE UNIT ENTITLEMENT OF THE STRATA LOT AS SHOWN ON FORM V</t>
  </si>
  <si>
    <t xml:space="preserve">017320861</t>
  </si>
  <si>
    <t xml:space="preserve">STRATA LOT 1 DISTRICT LOT 1605 STRATA PLAN VAS2806 TOGETHER WITH AN INTEREST IN THE COMMON PROPERTY IN PROPORTION TO THE UNIT ENTITLEMENT OF THE STRATA LOT AS SHOWN ON FORM V</t>
  </si>
  <si>
    <t xml:space="preserve">024138100</t>
  </si>
  <si>
    <t xml:space="preserve">LOT 2 DISTRICT LOTS 2958 AND 2958A GROUP 1 NEW WESTMINSTER DISTRICT PLAN LMP37792</t>
  </si>
  <si>
    <t xml:space="preserve">017320941</t>
  </si>
  <si>
    <t xml:space="preserve">STRATA LOT 9 DISTRICT LOT 1605 STRATA PLAN VAS2806 TOGETHER WITH AN INTEREST IN THE COMMON PROPERTY IN PROPORTION TO THE UNIT ENTITLEMENT OF THE STRATA LOT AS SHOWN ON FORM V</t>
  </si>
  <si>
    <t xml:space="preserve">027830063</t>
  </si>
  <si>
    <t xml:space="preserve">STRATA LOT 18 DISTRICT LOT 1605 GROUP 1 NEW WESTMINSTER DISTRICT STRATA PLAN VAS2806 TOGETHER WITH AN INTEREST IN THE COMMON PROPERTY IN PROPORTION TO THE UNIT ENTITLEMENT OF THE STRATA LOT AS SHOWN ON FORM V</t>
  </si>
  <si>
    <t xml:space="preserve">017784191</t>
  </si>
  <si>
    <t xml:space="preserve">STRATA 14 DISTRICT LOT 1605 STRATA PLAN VAS2806 TOGETHER WITH AN INTEREST IN THE COMMON PROPERTY IN PROPORTION TO THE UNIT ENTITLEMENT OF THE STRATA LOT AS SHOWN ON FORM V.</t>
  </si>
  <si>
    <t xml:space="preserve">017784166</t>
  </si>
  <si>
    <t xml:space="preserve">STRATA LOT 11 DISTRICT LOT 1605 STRATA PLAN VAS2806 TOGETHER WITH AN INTEREST IN THE COMMON PROPERTY IN PROPORTION TO THE UNIT ENTITLEMENT OF THE STRATA LOT AS SHOWN ON FORM V</t>
  </si>
  <si>
    <t xml:space="preserve">018231012</t>
  </si>
  <si>
    <t xml:space="preserve">LOT C BLOCK A3 DISTRICT LOT 1334 PLAN LMP10153</t>
  </si>
  <si>
    <t xml:space="preserve">017784174</t>
  </si>
  <si>
    <t xml:space="preserve">STRATA 12 DISTRICT LOT 1605 STRATA PLAN VAS2806 TOGETHER WITH AN INTEREST IN THE COMMON PROPERTY IN PROPORTION TO THE UNIT ENTITLEMENT OF THE STRATA LOT AS SHOWN ON FORM V.</t>
  </si>
  <si>
    <t xml:space="preserve">017320895</t>
  </si>
  <si>
    <t xml:space="preserve">STRATA LOT 4 DISTRICT LOT 1605 STRATA PLAN VAS2806 TOGETHER WITH AN INTEREST IN THE COMMON PROPERTY IN PROPORTION TO THE UNIT ENTITLEMENT OF THE STRATA LOT AS SHOWN ON FORM V</t>
  </si>
  <si>
    <t xml:space="preserve">017320933</t>
  </si>
  <si>
    <t xml:space="preserve">STRATA LOT 8 DISTRICT LOT 1605 STRATA PLAN VAS2806 TOGETHER WITH AN INTEREST IN THE COMMON PROPERTY IN PROPORTION TO THE UNIT ENTITLEMENT OF THE STRATA LOT AS SHOWN ON FORM V</t>
  </si>
  <si>
    <t xml:space="preserve">017320909</t>
  </si>
  <si>
    <t xml:space="preserve">STRATA LOT 5 DISTRICT LOT 1605 STRATA PLAN VAS2806 TOGETHER WITH AN INTEREST IN THE COMMON PROPERTY IN PROPORTION TO THE UNIT ENTITLEMENT OF THE STRATA LOT AS SHOWN ON FORM V</t>
  </si>
  <si>
    <t xml:space="preserve">017784182</t>
  </si>
  <si>
    <t xml:space="preserve">STRATA 13 DISTRICT LOT 1605 STRATA PLAN VAS2806 TOGETHER WITH AN INTEREST IN THE COMMON PROPERTY IN PROPORTION TO THE UNIT ENTITLEMENT OF THE STRATA LOT AS SHOWN ON FORM V</t>
  </si>
  <si>
    <t xml:space="preserve">017320917</t>
  </si>
  <si>
    <t xml:space="preserve">STRATA LOT 6 DISTRICT LOT 1605 STRATA PLAN VAS2806 TOGETHER WITH AN INTEREST IN THE COMMON PROPERTY IN PROPORTION TO THE UNIT ENTITLEMENT OF THE STRATA LOT AS SHOWN ON FORM V</t>
  </si>
  <si>
    <t xml:space="preserve">024138126</t>
  </si>
  <si>
    <t xml:space="preserve">LOT 3 DISTRICT LOTS 2958 AND 2958A GROUP 1 NEW WESTMINSTER DISTRICT PLAN LMP37792</t>
  </si>
  <si>
    <t xml:space="preserve">017320950</t>
  </si>
  <si>
    <t xml:space="preserve">STRATA LOT 10 DISTRICT LOT 1605 STRATA PLAN VAS2806 TOGETHER WITH AN INTEREST IN THE COMMON PROPERTY IN PROPORTION TO THE UNIT ENTITLEMENT OF THE STRATA LOT AS SHOWN ON FORM V</t>
  </si>
  <si>
    <t xml:space="preserve">015943402</t>
  </si>
  <si>
    <t xml:space="preserve">DISTRICT LOT 1336 GROUP 1 NEW WESTMINSTER DISTRICT</t>
  </si>
  <si>
    <t xml:space="preserve">027830047</t>
  </si>
  <si>
    <t xml:space="preserve">STRATA LOT 16 DISTRICT LOT 1605 GROUP 1 NEW WESTMINSTER DISTRICT STRATA PLAN VAS2806 TOGETHER WITH AN INTEREST IN THE COMMON PROPERTY IN PROPORTION TO THE UNIT ENTITLEMENT OF THE STRATA LOT AS SHOWN ON FORM V</t>
  </si>
  <si>
    <t xml:space="preserve">017571014</t>
  </si>
  <si>
    <t xml:space="preserve">BLOCK C DISTRICT LOT 2407 GROUP 1 NEW WESTMINSTER DISTRICT</t>
  </si>
  <si>
    <t xml:space="preserve">017734991</t>
  </si>
  <si>
    <t xml:space="preserve">BLOCK B DISTRICT LOT 2407 GROUP 1 NEW WESTMINSTER DISTRICT</t>
  </si>
  <si>
    <t xml:space="preserve">010084941</t>
  </si>
  <si>
    <t xml:space="preserve">LOT 1 (EXPLANATORY PLAN 7648) OF LOT D OF LOTS 1 AND 2 BLOCK 4 DISTRICT LOT 1347 PLAN 8420</t>
  </si>
  <si>
    <t xml:space="preserve">016365691</t>
  </si>
  <si>
    <t xml:space="preserve">LOT 1 BLOCK B DISTRICT LOT 1346 PLAN 22963</t>
  </si>
  <si>
    <t xml:space="preserve">007597118</t>
  </si>
  <si>
    <t xml:space="preserve">LOT D OF LOT 2 BLOCK 4 DISTRICT LOT 1347 PLAN 15945</t>
  </si>
  <si>
    <t xml:space="preserve">009063153</t>
  </si>
  <si>
    <t xml:space="preserve">LOT B (REFERENCE PLAN 3447) OF LOT 2 BLOCK 4 DISTRICT LOT 1347 PLAN 3497</t>
  </si>
  <si>
    <t xml:space="preserve">017332222</t>
  </si>
  <si>
    <t xml:space="preserve">BLOCK O DISTRICT LOT 2407 GROUP 1 NEW WESTMINSTER DISTRICT</t>
  </si>
  <si>
    <t xml:space="preserve">015898857</t>
  </si>
  <si>
    <t xml:space="preserve">DISTRICT LOT 2957 GROUP 1 NEW WESTMINSTER DISTRICT</t>
  </si>
  <si>
    <t xml:space="preserve">027830071</t>
  </si>
  <si>
    <t xml:space="preserve">STRATA LOT 19 DISTRICT LOT 1605 GROUP 1 NEW WESTMINSTER DISTRICT STRATA PLAN VAS2806 TOGETHER WITH AN INTEREST IN THE COMMON PROPERTY IN PROPORTION TO THE UNIT ENTITLEMENT OF THE STRATA LOT AS SHOWN ON FORM V</t>
  </si>
  <si>
    <t xml:space="preserve">012148024</t>
  </si>
  <si>
    <t xml:space="preserve">LOT 2 (REFERENCE PLAN 1254) BLOCK B DISTRICT LOT 1426 PLAN 3802</t>
  </si>
  <si>
    <t xml:space="preserve">028132475</t>
  </si>
  <si>
    <t xml:space="preserve">LOT 44 DISTRICT LOT 1548 GROUP 1 NEW WESTMINSTER DISTRICT PLAN BCP43265</t>
  </si>
  <si>
    <t xml:space="preserve">015127842</t>
  </si>
  <si>
    <t xml:space="preserve">LOT 1 (SEE B 32802L) OF LOT A (EXPLANATORY PLAN 3429) DISTRICT LOT 2908 GROUP 1 NEW WESTMINSTER DISTRICT</t>
  </si>
  <si>
    <t xml:space="preserve">028858671</t>
  </si>
  <si>
    <t xml:space="preserve">LOT B DISTRICT LOT 1548 GROUP 1 NEW WESTMINSTER DISTRICT PLAN EPP20120</t>
  </si>
  <si>
    <t xml:space="preserve">028132068</t>
  </si>
  <si>
    <t xml:space="preserve">LOT 3 DISTRICT LOT 1548 GROUP 1 NEW WESTMINSTER DISTRICT PLAN BCP43265</t>
  </si>
  <si>
    <t xml:space="preserve">028858662</t>
  </si>
  <si>
    <t xml:space="preserve">LOT A DISTRICT LOT 1548 GROUP 1 NEW WESTMINSTER DISTRICT PLAN EPP20120</t>
  </si>
  <si>
    <t xml:space="preserve">028132050</t>
  </si>
  <si>
    <t xml:space="preserve">LOT 2 DISTRICT LOT 1548 GROUP 1 NEW WESTMINSTER DISTRICT PLAN BCP43265</t>
  </si>
  <si>
    <t xml:space="preserve">015925684</t>
  </si>
  <si>
    <t xml:space="preserve">DISTRICT LOT 1665 GROUP 1 NEW WESTMINSTER DISTRICT</t>
  </si>
  <si>
    <t xml:space="preserve">028132041</t>
  </si>
  <si>
    <t xml:space="preserve">LOT 1 DISTRICT LOT 1548 GROUP 1 NEW WESTMINSTER DISTRICT PLAN BCP43265</t>
  </si>
  <si>
    <t xml:space="preserve">027833135</t>
  </si>
  <si>
    <t xml:space="preserve">STRATA LOT 1 DISTRICT LOT 492 GROUP 1 NEW WESTMINSTER DISTRICT STRATA PLAN BCS3341 TOGETHER WITH AN INTEREST IN THE COMMON PROPERTY IN PROPORTION TO THE UNIT ENTITLEMENT OF THE STRATA LOT AS SHOWN ON FORM V</t>
  </si>
  <si>
    <t xml:space="preserve">006841601</t>
  </si>
  <si>
    <t xml:space="preserve">LOT 155 BLOCK B DISTRICT LOT 492 PLAN 20169</t>
  </si>
  <si>
    <t xml:space="preserve">011517191</t>
  </si>
  <si>
    <t xml:space="preserve">STRATA LOT 3 DISTRICT LOT 492 STRATA PLAN VR. 2166 TOGETHER WITH AN INTEREST IN THE COMMON PROPERTY IN PROPORTION TO THE UNIT ENTITLEMENT OF THE STRATA LOT AS SHOWN ON FORM 1.</t>
  </si>
  <si>
    <t xml:space="preserve">028211073</t>
  </si>
  <si>
    <t xml:space="preserve">LOT A DISTRICT LOT 492 GROUP 1 NEW WESTMINSTER DISTRICT PLAN BCP44602</t>
  </si>
  <si>
    <t xml:space="preserve">008684073</t>
  </si>
  <si>
    <t xml:space="preserve">LOT G DISTRICT LOT 494 PLAN 13248</t>
  </si>
  <si>
    <t xml:space="preserve">015794695</t>
  </si>
  <si>
    <t xml:space="preserve">DISTRICT LOT 6698 GROUP 1 NEW WESTMINSTER DISTRICT</t>
  </si>
  <si>
    <t xml:space="preserve">008351490</t>
  </si>
  <si>
    <t xml:space="preserve">LOT B (EXPLANATORY PLAN 3308) (SEE 222616L) DISTRICT LOT 1947 PLAN 4660</t>
  </si>
  <si>
    <t xml:space="preserve">009206400</t>
  </si>
  <si>
    <t xml:space="preserve">LOT 1 DISTRICT LOT 494 PLAN 11316</t>
  </si>
  <si>
    <t xml:space="preserve">015818055</t>
  </si>
  <si>
    <t xml:space="preserve">THAT PART OF DISTRICT LOT 5955 LYING SOUTH OF A LINE DRAWN PARALLEL TO THE NORTH BOUNDARY THEREOF AND PERPENDICULARLY DISTANT THEREFROM 1100 FEET GROUP 1 NEW WESTMINSTER DISTRICT</t>
  </si>
  <si>
    <t xml:space="preserve">015894550</t>
  </si>
  <si>
    <t xml:space="preserve">DISTRICT LOT 2848 GROUP 1 NEW WESTMINSTER DISTRICT</t>
  </si>
  <si>
    <t xml:space="preserve">015950450</t>
  </si>
  <si>
    <t xml:space="preserve">DISTRICT LOT 2718 GROUP 1 NEW WESTMINSTER DISTRICT (LIMITED ACCESS, SEE CROWN GRANT BX159132)</t>
  </si>
  <si>
    <t xml:space="preserve">017237033</t>
  </si>
  <si>
    <t xml:space="preserve">BLOCK D DISTRICT LOT 2407 GROUP 1 NEW WESTMINSTER DISTRICT</t>
  </si>
  <si>
    <t xml:space="preserve">024779440</t>
  </si>
  <si>
    <t xml:space="preserve">DISTRICT LOT 2473 GROUP 1 NEW WESTMINSTER DISTRICT</t>
  </si>
  <si>
    <t xml:space="preserve">025393278</t>
  </si>
  <si>
    <t xml:space="preserve">BLOCK K DISTRICT LOT 2407 GROUP 1 NEW WESTMINSTER DISTRICT</t>
  </si>
  <si>
    <t xml:space="preserve">025410415</t>
  </si>
  <si>
    <t xml:space="preserve">DISTRICT LOT 1209 GROUP 1 NEW WESTMINSTER DISTRICT</t>
  </si>
  <si>
    <t xml:space="preserve">026363143</t>
  </si>
  <si>
    <t xml:space="preserve">BLOCK C DISTRICT LOT 295 GROUP 1 NEW WESTMINSTER DISTRICT (LIMITED ACCESS, SEE CROWN GRANT BX258290)</t>
  </si>
  <si>
    <t xml:space="preserve">005680565</t>
  </si>
  <si>
    <t xml:space="preserve">STRATA LOT 7 DISTRICT LOT 1550 STRATA PLAN VR. 704, TOGETHER WITH AN INTEREST IN THE COMMON PROPERTY IN PROPORTION TO THE UNIT ENTITLEMENT OF THE STRATA LOT AS SHOWN ON FORM 1.</t>
  </si>
  <si>
    <t xml:space="preserve">005681065</t>
  </si>
  <si>
    <t xml:space="preserve">STRATA LOT 11 DISTRICT LOT 1550 STRATA PLAN VR. 704, TOGETHER WITH AN INTEREST IN THE COMMON PROPERTY IN PROPORTION TO THE UNIT ENTITLEMENT OF THE STRATA LOT AS SHOWN ON FORM 1.</t>
  </si>
  <si>
    <t xml:space="preserve">005681073</t>
  </si>
  <si>
    <t xml:space="preserve">STRATA LOT 12 DISTRICT LOT 1550 STRATA PLAN VR. 704, TOGETHER WITH AN INTEREST IN THE COMMON PROPERTY IN PROPORTION TO THE UNIT ENTITLEMENT OF THE STRATA LOT AS SHOWN ON FORM 1.</t>
  </si>
  <si>
    <t xml:space="preserve">005680476</t>
  </si>
  <si>
    <t xml:space="preserve">STRATA LOT 4 DISTRICT LOT 1550 STRATA PLAN VR. 704, TOGETHER WITH AN INTEREST IN THE COMMON PROPERTY IN PROPORTION TO THE UNIT ENTITLEMENT OF THE STRATA LOT AS SHOWN ON FORM 1.</t>
  </si>
  <si>
    <t xml:space="preserve">005680506</t>
  </si>
  <si>
    <t xml:space="preserve">STRATA LOT 5 DISTRICT LOT 1550 STRATA PLAN VR. 704, TOGETHER WITH AN INTEREST IN THE COMMON PROPERTY IN PROPORTION TO THE UNIT ENTITLEMENT OF THE STRATA LOT AS SHOWN ON FORM 1.</t>
  </si>
  <si>
    <t xml:space="preserve">005680531</t>
  </si>
  <si>
    <t xml:space="preserve">STRATA LOT 6 DISTRICT LOT 1550 STRATA PLAN VR. 704, TOGETHER WITH AN INTEREST IN THE COMMON PROPERTY IN PROPORTION TO THE UNIT ENTITLEMENT OF THE STRATA LOT AS SHOWN ON FORM 1.</t>
  </si>
  <si>
    <t xml:space="preserve">005680166</t>
  </si>
  <si>
    <t xml:space="preserve">STRATA LOT 2 DISTRICT LOT 1550 STRATA PLAN VR. 704, TOGETHER WITH AN INTEREST IN THE COMMON PROPERTY IN PROPORTION TO THE UNIT ENTITLEMENT OF THE STRATA LOT AS SHOWN ON FORM 1.</t>
  </si>
  <si>
    <t xml:space="preserve">005681138</t>
  </si>
  <si>
    <t xml:space="preserve">STRATA LOT 15 DISTRICT LOT 1550 STRATA PLAN VR. 704, TOGETHER WITH AN INTEREST IN THE COMMON PROPERTY IN PROPORTION TO THE UNIT ENTITLEMENT OF THE STRATA LOT AS SHOWN ON FORM 1.</t>
  </si>
  <si>
    <t xml:space="preserve">005681090</t>
  </si>
  <si>
    <t xml:space="preserve">STRATA LOT 13 DISTRICT LOT 1550 STRATA PLAN VR. 704, TOGETHER WITH AN INTEREST IN THE COMMON PROPERTY IN PROPORTION TO THE UNIT ENTITLEMENT OF THE STRATA LOT AS SHOWN ON FORM 1.</t>
  </si>
  <si>
    <t xml:space="preserve">005681146</t>
  </si>
  <si>
    <t xml:space="preserve">STRATA LOT 16 DISTRICT LOT 1550 STRATA PLAN VR704 TOGETHER WITH AN INTEREST IN THE COMMON PROPERTY IN PROPORTION TO THE UNIT ENTITLEMENT OF THE STRATA LOT AS SHOWN ON FORM 1</t>
  </si>
  <si>
    <t xml:space="preserve">005680131</t>
  </si>
  <si>
    <t xml:space="preserve">STRATA LOT 1 DISTRICT LOT 1550 STRATA PLAN VR. 704, TOGETHER WITH AN INTEREST IN THE COMMON PROPERTY IN PROPORTION TO THE UNIT ENTITLEMENT OF THE STRATA LOT AS SHOWN ON FORM 1.</t>
  </si>
  <si>
    <t xml:space="preserve">005681049</t>
  </si>
  <si>
    <t xml:space="preserve">STRATA LOT 10 DISTRICT LOT 1550 STRATA PLAN VR. 704, TOGETHER WITH AN INTEREST IN THE COMMON PROPERTY IN PROPORTION TO THE UNIT ENTITLEMENT OF THE STRATA LOT AS SHOWN ON FORM 1.</t>
  </si>
  <si>
    <t xml:space="preserve">005681103</t>
  </si>
  <si>
    <t xml:space="preserve">STRATA LOT 14 DISTRICT LOT 1550 STRATA PLAN VR. 704, TOGETHER WITH AN INTEREST IN THE COMMON PROPERTY IN PROPORTION TO THE UNIT ENTITLEMENT OF THE STRATA LOT AS SHOWN ON FORM 1.</t>
  </si>
  <si>
    <t xml:space="preserve">005680581</t>
  </si>
  <si>
    <t xml:space="preserve">STRATA LOT 8 DISTRICT LOT 1550 STRATA PLAN VR. 704, TOGETHER WITH AN INTEREST IN THE COMMON PROPERTY IN PROPORTION TO THE UNIT ENTITLEMENT OF THE STRATA LOT AS SHOWN ON FORM 1.</t>
  </si>
  <si>
    <t xml:space="preserve">005680441</t>
  </si>
  <si>
    <t xml:space="preserve">STRATA LOT 3 DISTRICT LOT 1550 STRATA PLAN VR. 704, TOGETHER WITH AN INTEREST IN THE COMMON PROPERTY IN PROPORTION TO THE UNIT ENTITLEMENT OF THE STRATA LOT AS SHOWN ON FORM 1.</t>
  </si>
  <si>
    <t xml:space="preserve">005680603</t>
  </si>
  <si>
    <t xml:space="preserve">STRATA LOT 9 DISTRICT LOT 1550 STRATA PLAN VR. 704, TOGETHER WITH AN INTEREST IN THE COMMON PROPERTY IN PROPORTION TO THE UNIT ENTITLEMENT OF THE STRATA LOT AS SHOWN ON FORM 1.</t>
  </si>
  <si>
    <t xml:space="preserve">026085755</t>
  </si>
  <si>
    <t xml:space="preserve">LOT 1 BLOCKS B,C,E AND F DISTRICT LOT 492 GROUP 1 NEW WESTMINSTER DISTRICT PLAN BCP14101</t>
  </si>
  <si>
    <t xml:space="preserve">028132181</t>
  </si>
  <si>
    <t xml:space="preserve">LOT 15 DISTRICT LOT 1548 GROUP 1 NEW WESTMINSTER DISTRICT PLAN BCP43265</t>
  </si>
  <si>
    <t xml:space="preserve">028132254</t>
  </si>
  <si>
    <t xml:space="preserve">LOT 22 DISTRICT LOT 1548 GROUP 1 NEW WESTMINSTER DISTRICT PLAN BCP43265</t>
  </si>
  <si>
    <t xml:space="preserve">010932861</t>
  </si>
  <si>
    <t xml:space="preserve">LOT 3 DISTRICT LOT 1412 PLAN 6249</t>
  </si>
  <si>
    <t xml:space="preserve">028132165</t>
  </si>
  <si>
    <t xml:space="preserve">LOT 13 DISTRICT LOT 1548 GROUP 1 NEW WESTMINSTER DISTRICT PLAN BCP43265</t>
  </si>
  <si>
    <t xml:space="preserve">028132203</t>
  </si>
  <si>
    <t xml:space="preserve">LOT 17 DISTRICT LOT 1548 GROUP 1 NEW WESTMINSTER DISTRICT PLAN BCP43265</t>
  </si>
  <si>
    <t xml:space="preserve">028132092</t>
  </si>
  <si>
    <t xml:space="preserve">LOT 6 DISTRICT LOT 1548 GROUP 1 NEW WESTMINSTER DISTRICT PLAN BCP43265</t>
  </si>
  <si>
    <t xml:space="preserve">028132238</t>
  </si>
  <si>
    <t xml:space="preserve">LOT 20 DISTRICT LOT 1548 GROUP 1 NEW WESTMINSTER DISTRICT PLAN BCP43265</t>
  </si>
  <si>
    <t xml:space="preserve">027822184</t>
  </si>
  <si>
    <t xml:space="preserve">LOT 3 BLOCK B DISTRICT LOT 1412 GROUP 1 NEW WESTMINSTER DISTRICT PLAN BCP39854 (SEE PLAN AS TO LIMITED ACCESS)</t>
  </si>
  <si>
    <t xml:space="preserve">028132122</t>
  </si>
  <si>
    <t xml:space="preserve">LOT 9 DISTRICT LOT 1548 GROUP 1 NEW WESTMINSTER DISTRICT PLAN BCP43265</t>
  </si>
  <si>
    <t xml:space="preserve">028132131</t>
  </si>
  <si>
    <t xml:space="preserve">LOT 10 DISTRICT LOT 1548 GROUP 1 NEW WESTMINSTER DISTRICT PLAN BCP43265</t>
  </si>
  <si>
    <t xml:space="preserve">028132149</t>
  </si>
  <si>
    <t xml:space="preserve">LOT 11 DISTRICT LOT 1548 GROUP 1 NEW WESTMINSTER DISTRICT PLAN BCP43265</t>
  </si>
  <si>
    <t xml:space="preserve">028132106</t>
  </si>
  <si>
    <t xml:space="preserve">LOT 7 DISTRICT LOT 1548 GROUP 1 NEW WESTMINSTER DISTRICT PLAN BCP43265</t>
  </si>
  <si>
    <t xml:space="preserve">028132173</t>
  </si>
  <si>
    <t xml:space="preserve">LOT 14 DISTRICT LOT 1548 GROUP 1 NEW WESTMINSTER DISTRICT PLAN BCP43265</t>
  </si>
  <si>
    <t xml:space="preserve">028132246</t>
  </si>
  <si>
    <t xml:space="preserve">LOT 21 DISTRICT LOT 1548 GROUP 1 NEW WESTMINSTER DISTRICT PLAN BCP43265</t>
  </si>
  <si>
    <t xml:space="preserve">028132114</t>
  </si>
  <si>
    <t xml:space="preserve">LOT 8 DISTRICT LOT 1548 GROUP 1 NEW WESTMINSTER DISTRICT PLAN BCP43265</t>
  </si>
  <si>
    <t xml:space="preserve">010897992</t>
  </si>
  <si>
    <t xml:space="preserve">BLOCK 1 DISTRICT LOT 1411 PLAN 6372</t>
  </si>
  <si>
    <t xml:space="preserve">028132220</t>
  </si>
  <si>
    <t xml:space="preserve">LOT 19 DISTRICT LOT 1548 GROUP 1 NEW WESTMINSTER DISTRICT PLAN BCP43265</t>
  </si>
  <si>
    <t xml:space="preserve">027822176</t>
  </si>
  <si>
    <t xml:space="preserve">LOT 2 BLOCK B DISTRICT LOT 1412 GROUP 1 NEW WESTMINSTER DISTRICT PLAN BCP39854 (SEE PLAN AS TO LIMITED ACCESS)</t>
  </si>
  <si>
    <t xml:space="preserve">028132157</t>
  </si>
  <si>
    <t xml:space="preserve">LOT 12 DISTRICT LOT 1548 GROUP 1 NEW WESTMINSTER DISTRICT PLAN BCP43265</t>
  </si>
  <si>
    <t xml:space="preserve">028132190</t>
  </si>
  <si>
    <t xml:space="preserve">LOT 16 DISTRICT LOT 1548 GROUP 1 NEW WESTMINSTER DISTRICT PLAN BCP43265</t>
  </si>
  <si>
    <t xml:space="preserve">028132211</t>
  </si>
  <si>
    <t xml:space="preserve">LOT 18 DISTRICT LOT 1548 GROUP 1 NEW WESTMINSTER DISTRICT PLAN BCP43265</t>
  </si>
  <si>
    <t xml:space="preserve">029400023</t>
  </si>
  <si>
    <t xml:space="preserve">LOT 1 DISTRICT LOT 1550 GROUP 1 NEW WESTMINSTER DISTRICT PLAN EPP40607</t>
  </si>
  <si>
    <t xml:space="preserve">003280861</t>
  </si>
  <si>
    <t xml:space="preserve">STRATA LOT 1 DISTRICT LOT 1412 STRATA PLAN VR. 1622 TOGETHER WITH AN INTEREST IN THE COMMON PROPERTY IN PROPORTION TO THE UNIT ENTITLEMENT OF THE STRATA LOT AS SHOWN ON FORM 1</t>
  </si>
  <si>
    <t xml:space="preserve">024041301</t>
  </si>
  <si>
    <t xml:space="preserve">PARCEL 1 DISTRICT LOT 2908 GROUP 1 NEW WESTMINSTER DISTRICT PLAN LMP36732</t>
  </si>
  <si>
    <t xml:space="preserve">009097368</t>
  </si>
  <si>
    <t xml:space="preserve">LOT 6 DISTRICT LOT 1412 PLAN 6249</t>
  </si>
  <si>
    <t xml:space="preserve">015931170</t>
  </si>
  <si>
    <t xml:space="preserve">LOT A (REFERENCE PLAN 1545) DISTRICT LOT 1412 GROUP 1 NEW WESTMINSTER DISTRICT</t>
  </si>
  <si>
    <t xml:space="preserve">010898000</t>
  </si>
  <si>
    <t xml:space="preserve">BLOCK 2 DISTRICT LOT 1411 PLAN 6372</t>
  </si>
  <si>
    <t xml:space="preserve">025487876</t>
  </si>
  <si>
    <t xml:space="preserve">LOT 1 DISTRICT LOT 1549 GROUP 1 NEW WESTMINSTER DISTRICT PLAN BCP925</t>
  </si>
  <si>
    <t xml:space="preserve">028132424</t>
  </si>
  <si>
    <t xml:space="preserve">LOT 39 DISTRICT LOT 1548 GROUP 1 NEW WESTMINSTER DISTRICT PLAN BCP43265</t>
  </si>
  <si>
    <t xml:space="preserve">028132432</t>
  </si>
  <si>
    <t xml:space="preserve">LOT 40 DISTRICT LOT 1548 GROUP 1 NEW WESTMINSTER DISTRICT PLAN BCP43265</t>
  </si>
  <si>
    <t xml:space="preserve">028132611</t>
  </si>
  <si>
    <t xml:space="preserve">LOT 58 DISTRICT LOT 1548 GROUP 1 NEW WESTMINSTER DISTRICT PLAN BCP43265</t>
  </si>
  <si>
    <t xml:space="preserve">028132602</t>
  </si>
  <si>
    <t xml:space="preserve">LOT 57 DISTRICT LOT 1548 GROUP 1 NEW WESTMINSTER DISTRICT PLAN BCP43265</t>
  </si>
  <si>
    <t xml:space="preserve">028132629</t>
  </si>
  <si>
    <t xml:space="preserve">LOT 59 DISTRICT LOT 1548 GROUP 1 NEW WESTMINSTER DISTRICT PLAN BCP43265</t>
  </si>
  <si>
    <t xml:space="preserve">028883691</t>
  </si>
  <si>
    <t xml:space="preserve">LOT 2 DISTRICT LOT 2958 GROUP 1 NEW WESTMINSTER DISTRICT PLAN BCP51043</t>
  </si>
  <si>
    <t xml:space="preserve">025487884</t>
  </si>
  <si>
    <t xml:space="preserve">LOT 2 DISTRICT LOT 1549 GROUP 1 NEW WESTMINSTER DISTRICT PLAN BCP925</t>
  </si>
  <si>
    <t xml:space="preserve">018231004</t>
  </si>
  <si>
    <t xml:space="preserve">LOT B BLOCK A3 DISTRICT LOT 1334 PLAN LMP10153</t>
  </si>
  <si>
    <t xml:space="preserve">029400031</t>
  </si>
  <si>
    <t xml:space="preserve">LOT 2 DISTRICT LOT 1550 GROUP 1 NEW WESTMINSTER DISTRICT PLAN EPP40607</t>
  </si>
  <si>
    <t xml:space="preserve">002577038</t>
  </si>
  <si>
    <t xml:space="preserve">STRATA LOT 17 DISTRICT LOT 1550 STRATA PLAN VR. 704, TOGETHER WITH AN INTEREST IN THE COMMON PROPERTY IN PROPORTION TO THE UNIT ENTITLEMENT OF THE STRATA LOT AS SHOWN ON FORM 1.</t>
  </si>
  <si>
    <t xml:space="preserve">005681189</t>
  </si>
  <si>
    <t xml:space="preserve">STRATA LOT 18 DISTRICT LOT 1550 STRATA PLAN VR. 704, TOGETHER WITH AN INTEREST IN THE COMMON PROPERTY IN PROPORTION TO THE UNIT ENTITLEMENT OF THE STRATA LOT AS SHOWN ON FORM 1.</t>
  </si>
  <si>
    <t xml:space="preserve">011127309</t>
  </si>
  <si>
    <t xml:space="preserve">THAT PART OF THE SURFACE OF DISTRICT LOT 2906 LYING WITHIN THE BOUNDARIES OF LOT 4051 SURVEYED AS "EMERALD NO. 1" MINERAL CLAIM GROUP 1 NEW WESTMINSTER D ISTRICT</t>
  </si>
  <si>
    <t xml:space="preserve">004259505</t>
  </si>
  <si>
    <t xml:space="preserve">DISTRICT LOT 7231 GROUP 1 NEW WESTMINSTER DISTRICT</t>
  </si>
  <si>
    <t xml:space="preserve">011128852</t>
  </si>
  <si>
    <t xml:space="preserve">THAT PART OF THE SURFACE OF DISTRICT LOT 2906 LYING WITHIN THE BOUNDARIES OF LOT 4052 SURVEYED AS "BOWENA NO. 1" MINERAL CLAIM GROUP 1 NEW WESTMINSTER DI STRICT</t>
  </si>
  <si>
    <t xml:space="preserve">017954282</t>
  </si>
  <si>
    <t xml:space="preserve">BLOCK H DISTRICT LOT 2407 GROUP 1 NEW WESTMINSTER DISTRICT</t>
  </si>
  <si>
    <t xml:space="preserve">007679564</t>
  </si>
  <si>
    <t xml:space="preserve">LOT 2 BLOCK 4 DISTRICT LOT 1347 PLAN 15140</t>
  </si>
  <si>
    <t xml:space="preserve">026572630</t>
  </si>
  <si>
    <t xml:space="preserve">LOT 4 DISTRICT LOT 1545 GROUP 1 NEW WESTMINSTER DISTRICT PLAN BCP22051</t>
  </si>
  <si>
    <t xml:space="preserve">009047891</t>
  </si>
  <si>
    <t xml:space="preserve">LOT 5 BLOCK A2 DISTRICT LOT 1334 PLAN 11553</t>
  </si>
  <si>
    <t xml:space="preserve">009047859</t>
  </si>
  <si>
    <t xml:space="preserve">LOT 4 BLOCK A2 DISTRICT LOT 1334 PLAN 11553</t>
  </si>
  <si>
    <t xml:space="preserve">009047638</t>
  </si>
  <si>
    <t xml:space="preserve">LOT 3 BLOCK A2 DISTRICT LOT 1334 PLAN 11553</t>
  </si>
  <si>
    <t xml:space="preserve">015784452</t>
  </si>
  <si>
    <t xml:space="preserve">DISTRICT LOT 6350 GROUP 1 NEW WESTMINSTER DISTRICT</t>
  </si>
  <si>
    <t xml:space="preserve">009047581</t>
  </si>
  <si>
    <t xml:space="preserve">LOT 2 BLOCK A2 DISTRICT LOT 1334 PLAN 11553</t>
  </si>
  <si>
    <t xml:space="preserve">007627009</t>
  </si>
  <si>
    <t xml:space="preserve">LOT A BLOCK A-2 DISTRICT LOT 1334 PLAN 15758</t>
  </si>
  <si>
    <t xml:space="preserve">009987550</t>
  </si>
  <si>
    <t xml:space="preserve">LOT 31 DISTRICT LOT 1628 PLAN 8645</t>
  </si>
  <si>
    <t xml:space="preserve">006452299</t>
  </si>
  <si>
    <t xml:space="preserve">STRATA LOT 1 DISTRICT LOT 1628 STRATA PLAN VR. 1300 TOGETHER WITH AN INTEREST IN THE COMMON PROPERTY IN PROPORTION TO THE UNIT ENTITLEMENT OF THE STRATA LOT AS SHOWN ON FORM 1.</t>
  </si>
  <si>
    <t xml:space="preserve">006452361</t>
  </si>
  <si>
    <t xml:space="preserve">STRATA LOT 4 DISTRICT LOT 1628 STRATA PLAN VR. 1300 TOGETHER WITH AN INTEREST IN THE COMMON PROPERTY IN PROPORTION TO THE UNIT ENTITLEMENT OF THE STRATA LOT AS SHOWN ON FORM 1.</t>
  </si>
  <si>
    <t xml:space="preserve">006452311</t>
  </si>
  <si>
    <t xml:space="preserve">STRATA LOT 2 DISTRICT LOT 1628 STRATA PLAN VR. 1300 TOGETHER WITH AN INTEREST IN THE COMMON PROPERTY IN PROPORTION TO THE UNIT ENTITLEMENT OF THE STRATA LOT AS SHOWN ON FORM 1.</t>
  </si>
  <si>
    <t xml:space="preserve">006452388</t>
  </si>
  <si>
    <t xml:space="preserve">STRATA LOT 5 DISTRICT LOT 1628 STRATA PLAN VR. 1300 TOGETHER WITH AN INTEREST IN THE COMMON PROPERTY IN PROPORTION TO THE UNIT ENTITLEMENT OF THE STRATA LOT AS SHOWN ON FORM 1.</t>
  </si>
  <si>
    <t xml:space="preserve">006452400</t>
  </si>
  <si>
    <t xml:space="preserve">STRATA LOT 6 DISTRICT LOT 1628 STRATA PLAN VR. 1300 TOGETHER WITH AN INTEREST IN THE COMMON PROPERTY IN PROPORTION TO THE UNIT ENTITLEMENT OF THE STRATA LOT AS SHOWN ON FORM 1.</t>
  </si>
  <si>
    <t xml:space="preserve">006452337</t>
  </si>
  <si>
    <t xml:space="preserve">STRATA LOT 3 DISTRICT LOT 1628 STRATA PLAN VR. 1300 TOGETHER WITH AN INTEREST IN THE COMMON PROPERTY IN PROPORTION TO THE UNIT ENTITLEMENT OF THE STRATA LOT AS SHOWN ON FORM 1.</t>
  </si>
  <si>
    <t xml:space="preserve">010932887</t>
  </si>
  <si>
    <t xml:space="preserve">LOT 4 DISTRICT LOT 1412 PLAN 6249</t>
  </si>
  <si>
    <t xml:space="preserve">015763609</t>
  </si>
  <si>
    <t xml:space="preserve">DISTRICT LOT 7341 GROUP 1 NEW WESTMINSTER DISTRICT</t>
  </si>
  <si>
    <t xml:space="preserve">015891763</t>
  </si>
  <si>
    <t xml:space="preserve">DISTRICT LOT 3042 GROUP 1 NEW WESTMINSTER DISTRICT EXCEPT (A) A STRIP 66 FEET WIDE MEASURED FROM HIGH WATER MARK (B) PORTIONS IN PLANS 10353,10390,10585,10723,10987,11034,11055,11909, 12258,12504,12865,13160,13316,13385,13482,13712,13713,13831,15242,18998, 19283 , LMP7704 AND EPP69089</t>
  </si>
  <si>
    <t xml:space="preserve">028883951</t>
  </si>
  <si>
    <t xml:space="preserve">STRATA LOT 7 DISTRICT LOT 2958 GROUP 1 NEW WESTMINSTER DISTRICT STRATA PLAN BCS4476 TOGETHER WITH AN INTEREST IN THE COMMON PROPERTY IN PROPORTION TO THE UNIT ENTITLEMENT OF THE STRATA LOT AS SHOWN ON FORM V</t>
  </si>
  <si>
    <t xml:space="preserve">028883926</t>
  </si>
  <si>
    <t xml:space="preserve">STRATA LOT 4 DISTRICT LOT 2958 GROUP 1 NEW WESTMINSTER DISTRICT STRATA PLAN BCS4476 TOGETHER WITH AN INTEREST IN THE COMMON PROPERTY IN PROPORTION TO THE UNIT ENTITLEMENT OF THE STRATA LOT AS SHOWN ON FORM V</t>
  </si>
  <si>
    <t xml:space="preserve">028883900</t>
  </si>
  <si>
    <t xml:space="preserve">STRATA LOT 2 DISTRICT LOT 2958 GROUP 1 NEW WESTMINSTER DISTRICT STRATA PLAN BCS4476 TOGETHER WITH AN INTEREST IN THE COMMON PROPERTY IN PROPORTION TO THE UNIT ENTITLEMENT OF THE STRATA LOT AS SHOWN ON FORM V</t>
  </si>
  <si>
    <t xml:space="preserve">028883683</t>
  </si>
  <si>
    <t xml:space="preserve">LOT 1 DISTRICT LOT 2958 GROUP 1 NEW WESTMINSTER DISTRICT PLAN BCP51043 (SEE PLAN AS TO LIMITED ACCESS)</t>
  </si>
  <si>
    <t xml:space="preserve">028883896</t>
  </si>
  <si>
    <t xml:space="preserve">STRATA LOT 1 DISTRICT LOT 2958 GROUP 1 NEW WESTMINSTER DISTRICT STRATA PLAN BCS4476 TOGETHER WITH AN INTEREST IN THE COMMON PROPERTY IN PROPORTION TO THE UNIT ENTITLEMENT OF THE STRATA LOT AS SHOWN ON FORM V</t>
  </si>
  <si>
    <t xml:space="preserve">028883942</t>
  </si>
  <si>
    <t xml:space="preserve">STRATA LOT 6 DISTRICT LOT 2958 GROUP 1 NEW WESTMINSTER DISTRICT STRATA PLAN BCS4476 TOGETHER WITH AN INTEREST IN THE COMMON PROPERTY IN PROPORTION TO THE UNIT ENTITLEMENT OF THE STRATA LOT AS SHOWN ON FORM V</t>
  </si>
  <si>
    <t xml:space="preserve">028883918</t>
  </si>
  <si>
    <t xml:space="preserve">STRATA LOT 3 DISTRICT LOT 2958 GROUP 1 NEW WESTMINSTER DISTRICT STRATA PLAN BCS4476 TOGETHER WITH AN INTEREST IN THE COMMON PROPERTY IN PROPORTION TO THE UNIT ENTITLEMENT OF THE STRATA LOT AS SHOWN ON FORM V</t>
  </si>
  <si>
    <t xml:space="preserve">028883934</t>
  </si>
  <si>
    <t xml:space="preserve">STRATA LOT 5 DISTRICT LOT 2958 GROUP 1 NEW WESTMINSTER DISTRICT STRATA PLAN BCS4476 TOGETHER WITH AN INTEREST IN THE COMMON PROPERTY IN PROPORTION TO THE UNIT ENTITLEMENT OF THE STRATA LOT AS SHOWN ON FORM V</t>
  </si>
  <si>
    <t xml:space="preserve">009014578</t>
  </si>
  <si>
    <t xml:space="preserve">LOT 1 (EXPLANATORY PLAN 6436) OF LOT A DISTRICT LOT 2910 GROUP 1 NEW WESTMINSTER DISTRICT</t>
  </si>
  <si>
    <t xml:space="preserve">007634102</t>
  </si>
  <si>
    <t xml:space="preserve">THAT PART OF BLOCK D IN REFERENCE PLAN 13711 DISTRICT LOTS 1334 AND 1947 PLAN 15667</t>
  </si>
  <si>
    <t xml:space="preserve">CROWN AGENCY</t>
  </si>
  <si>
    <t xml:space="preserve">030334675</t>
  </si>
  <si>
    <t xml:space="preserve">LOT 1 DISTRICT LOT 1947 GROUP 1 NEW WESTMINSTER DISTRICT PLAN EPP60109</t>
  </si>
  <si>
    <t xml:space="preserve">015940951</t>
  </si>
  <si>
    <t xml:space="preserve">LOT A (REFERENCE PLAN 2505) DISTRICT LOT 1550 GROUP 1 NEW WESTMINSTER DISTRICT</t>
  </si>
  <si>
    <t xml:space="preserve">015940993</t>
  </si>
  <si>
    <t xml:space="preserve">LOT 1 (REFERENCE PLAN 2505) OF LOT B (REFERENCE PLAN 2268) DISTRICT LOT 1412 GROUP 1 NEW WESTMINSTER DISTRICT</t>
  </si>
  <si>
    <t xml:space="preserve">008188874</t>
  </si>
  <si>
    <t xml:space="preserve">LOT 2 (EXPLANATORY PLAN 6436) BLOCK A DISTRICT LOT 2910 GROUP 1 NEW WESTMINSTER DISTRICT</t>
  </si>
  <si>
    <t xml:space="preserve">015931811</t>
  </si>
  <si>
    <t xml:space="preserve">LOT G (REFERENCE PLAN 795) DISTRICT LOT 1628 GROUP 1 NEW WESTMINSTER DISTRICT</t>
  </si>
  <si>
    <t xml:space="preserve">002578905</t>
  </si>
  <si>
    <t xml:space="preserve">PARCEL B (EXPLANATORY PLAN 3460) OF DISTRICT LOT 2910 GROUP 1 NEW WESTMINSTER DISTRICT</t>
  </si>
  <si>
    <t xml:space="preserve">015944018</t>
  </si>
  <si>
    <t xml:space="preserve">LOT A (EXPLANATORY PLAN 1150) DISTRICT LOT 1346</t>
  </si>
  <si>
    <t xml:space="preserve">030334683</t>
  </si>
  <si>
    <t xml:space="preserve">LOT 2 DISTRICT LOT 1947 GROUP 1 NEW WESTMINSTER DISTRICT PLAN EPP60109</t>
  </si>
  <si>
    <t xml:space="preserve">007698372</t>
  </si>
  <si>
    <t xml:space="preserve">LOT A (REFERENCE PLAN 1322) DISTRICT LOT 1947 GROUP 1 NEW WESTMINSTER DISTRICT</t>
  </si>
  <si>
    <t xml:space="preserve">017793629</t>
  </si>
  <si>
    <t xml:space="preserve">LOT Q EXCEPT PART IN PLAN BCP14101 BLOCK C DISTRICT LOT 492 GROUP 1 NEW WESTMINSTER DISTRICT PLAN LMP4859</t>
  </si>
  <si>
    <t xml:space="preserve">006126871</t>
  </si>
  <si>
    <t xml:space="preserve">LOT A, EXCEPT PART IN PHASE 1 STRATA PLAN VR. 1809, DISTRICT LOT 1627 PLAN 21099</t>
  </si>
  <si>
    <t xml:space="preserve">009987509</t>
  </si>
  <si>
    <t xml:space="preserve">LOT 27, EXCEPT PART IN PLAN 20418 DISTRICT LOT 1628 PLAN 8645</t>
  </si>
  <si>
    <t xml:space="preserve">008778248</t>
  </si>
  <si>
    <t xml:space="preserve">LOT 2, EXCEPT PART IN PLAN 19539 BLOCK A3 DISTRICT LOT 1334 PLAN 12827</t>
  </si>
  <si>
    <t xml:space="preserve">011128941</t>
  </si>
  <si>
    <t xml:space="preserve">THE SURFACE OF LOT 4052 SURVEYED AS "BOWENA NO. 1" MINERAL CLAIM GROUP 1 NEW WESTMINSTER DISTRICT EXCEPT THEREOUT THAT PART COVERED BY DISTRICT LOT 2906</t>
  </si>
  <si>
    <t xml:space="preserve">011128003</t>
  </si>
  <si>
    <t xml:space="preserve">THE SURFACE OF LOT 4051 SURVEYED AS "EMERALD NO. 1" MINERAL CLAIM,EXCEPT THEREOUT THOSE PORTIONS COVERED BY DISTRICT LOTS 2447,2619,2906 AND THE WATERS OF QUEEN CHARLOTTE SOUND GROUP 1 NEW WESTMINSTER DISTRICT</t>
  </si>
  <si>
    <t xml:space="preserve">015980405</t>
  </si>
  <si>
    <t xml:space="preserve">DISTRICT LOT 494, EXCEPT LOT A (REFERENCE PLAN 1610) LOT D (REFERENCE PLAN 2687 AND PART IN PLAN 13248 GROUP 1 NEW WESTMINSTER DISTRICT</t>
  </si>
  <si>
    <t xml:space="preserve">015943372</t>
  </si>
  <si>
    <t xml:space="preserve">LOT A2 (EXPLANATORY PLAN 370), EXCEPT: FIRSTLY: PART SUBDIVIDED BY PLAN 4660, SECONDLY: PART SUBDIVIDED BY PLAN 11533 AND THIRDLY: PART ON EXPLANATORY PLAN 12061, OF DISTRICT LOT 1334 GROUP 1 NEW WESTMINSTER DISTRICT</t>
  </si>
  <si>
    <t xml:space="preserve">009987479</t>
  </si>
  <si>
    <t xml:space="preserve">LOT 26, EXCEPT PART IN PLAN 19741 DISTRICT LOT 1628 PLAN 8645</t>
  </si>
  <si>
    <t xml:space="preserve">015818098</t>
  </si>
  <si>
    <t xml:space="preserve">LOT A (SEE 457264L), GROUP 1 NEW WESTMINSTER DISTRICT, EXCEPT PART IN PLAN 14205, DISTRICT LOT 5955</t>
  </si>
  <si>
    <t xml:space="preserve">002537109</t>
  </si>
  <si>
    <t xml:space="preserve">BLOCK B , EXCEPT PORTIONS INCLUDED IN PLANS 13685, 16528, 16558, 17030, 17566, 17703, 17759, 18013, 18867, 18868, 18869, 19050, 19590, 19803, 20245, 20345, 20621, 20921 AND 21809 DISTRICT LOT 492 PLAN 6898</t>
  </si>
  <si>
    <t xml:space="preserve">010794603</t>
  </si>
  <si>
    <t xml:space="preserve">BLOCK E, EXCEPT PORTIONS IN PLANS 13685, 17702, 18676, 20353 AND 21871 DISTRICT LOT 492 PLAN 6898</t>
  </si>
  <si>
    <t xml:space="preserve">003358887</t>
  </si>
  <si>
    <t xml:space="preserve">BLOCK D, EXCEPT PART IN REFERENCE PLAN 13711 DISTRICT LOTS 1334 AND 1947 PLAN 15667</t>
  </si>
  <si>
    <t xml:space="preserve">018187501</t>
  </si>
  <si>
    <t xml:space="preserve">LOT 32 EXCEPT PART IN PLAN 19818, DISTRICT LOT 1628 PLAN 18679</t>
  </si>
  <si>
    <t xml:space="preserve">015900622</t>
  </si>
  <si>
    <t xml:space="preserve">ALL THAT PART OF DISTRICT LOT 2908 LYING TO THE EAST OF THE EAST BOUNDARY OF DISTRICT LOT 2448 AND ITS PRODUCTION NORTHERLY GROUP 1 NEW WESTMINSTER DISTRICT EXCEPT FROM SAID PART LOT A (EXPLANATORY PLAN 3429)</t>
  </si>
  <si>
    <t xml:space="preserve">009206540</t>
  </si>
  <si>
    <t xml:space="preserve">LOT 2, EXCEPT PART IN PLAN 17400, DISTRICT LOT 494 PLAN 11316</t>
  </si>
  <si>
    <t xml:space="preserve">007273789</t>
  </si>
  <si>
    <t xml:space="preserve">LOT 136, EXCEPT PART IN PLAN 20169, BLOCKS B AND E DISTRICT LOT 492 PLAN 17524</t>
  </si>
  <si>
    <t xml:space="preserve">013058631</t>
  </si>
  <si>
    <t xml:space="preserve">LOT A1 (EXPLANATORY PLAN 370), GROUP 1 NEW WESTMINSTER DISTRICT EXCEPT PORTIONS SHOWN AS ROAD AND LOTS 33 AND 34 ON PLAN 4660, DISTRICT LOT 1334</t>
  </si>
  <si>
    <t xml:space="preserve">007181337</t>
  </si>
  <si>
    <t xml:space="preserve">LOT 49 BLOCK C DISTRICT LOT 1426 PLAN 18378</t>
  </si>
  <si>
    <t xml:space="preserve">015026809</t>
  </si>
  <si>
    <t xml:space="preserve">LOT 5 BLOCK D DISTRICT LOT 492 PLAN 22501</t>
  </si>
  <si>
    <t xml:space="preserve">028132416</t>
  </si>
  <si>
    <t xml:space="preserve">LOT 38 DISTRICT LOT 1548 GROUP 1 NEW WESTMINSTER DISTRICT PLAN BCP43265</t>
  </si>
  <si>
    <t xml:space="preserve">LOCAL GOVERNMENT</t>
  </si>
  <si>
    <t xml:space="preserve">028132521</t>
  </si>
  <si>
    <t xml:space="preserve">LOT 49 DISTRICT LOT 1548 GROUP 1 NEW WESTMINSTER DISTRICT PLAN BCP43265</t>
  </si>
  <si>
    <t xml:space="preserve">028132394</t>
  </si>
  <si>
    <t xml:space="preserve">LOT 36 DISTRICT LOT 1548 GROUP 1 NEW WESTMINSTER DISTRICT PLAN BCP43265</t>
  </si>
  <si>
    <t xml:space="preserve">028132408</t>
  </si>
  <si>
    <t xml:space="preserve">LOT 37 DISTRICT LOT 1548 GROUP 1 NEW WESTMINSTER DISTRICT PLAN BCP43265</t>
  </si>
  <si>
    <t xml:space="preserve">028132599</t>
  </si>
  <si>
    <t xml:space="preserve">LOT 56 DISTRICT LOT 1548 GROUP 1 NEW WESTMINSTER DISTRICT PLAN BCP43265</t>
  </si>
  <si>
    <t xml:space="preserve">028132386</t>
  </si>
  <si>
    <t xml:space="preserve">LOT 35 DISTRICT LOT 1548 GROUP 1 NEW WESTMINSTER DISTRICT PLAN BCP43265</t>
  </si>
  <si>
    <t xml:space="preserve">028132378</t>
  </si>
  <si>
    <t xml:space="preserve">LOT 34 DISTRICT LOT 1548 GROUP 1 NEW WESTMINSTER DISTRICT PLAN BCP43265</t>
  </si>
  <si>
    <t xml:space="preserve">028132530</t>
  </si>
  <si>
    <t xml:space="preserve">LOT 50 DISTRICT LOT 1548 GROUP 1 NEW WESTMINSTER DISTRICT PLAN BCP43265</t>
  </si>
  <si>
    <t xml:space="preserve">008497460</t>
  </si>
  <si>
    <t xml:space="preserve">LOT 6 DISTRICT LOT 1910 PLAN 13749</t>
  </si>
  <si>
    <t xml:space="preserve">008183538</t>
  </si>
  <si>
    <t xml:space="preserve">BLOCK E DISTRICT LOT 1347 PLAN 2230</t>
  </si>
  <si>
    <t xml:space="preserve">008116342</t>
  </si>
  <si>
    <t xml:space="preserve">LOT E (REFERENCE PLAN 2999) GROUP 1 NEW WESTMINSTER DISTRICT EXCEPT PORTIONS IN PLANS 18864 AND 20478 DISTRICT LOT 1349</t>
  </si>
  <si>
    <t xml:space="preserve">002687062</t>
  </si>
  <si>
    <t xml:space="preserve">LOT 3 DISTRICT LOT 1349 PLAN 20602</t>
  </si>
  <si>
    <t xml:space="preserve">007546769</t>
  </si>
  <si>
    <t xml:space="preserve">BLOCK A DISTRICT LOTS 1347 AND 1349 PLAN 16210</t>
  </si>
  <si>
    <t xml:space="preserve">009375643</t>
  </si>
  <si>
    <t xml:space="preserve">LOT 2 OF LOT D DISTRICT LOT 1349 PLAN 21511</t>
  </si>
  <si>
    <t xml:space="preserve">015816532</t>
  </si>
  <si>
    <t xml:space="preserve">LOT 1 (REFERENCE PLAN 4166), GROUP 1 NEW WESTMINSTER DISTRICT EXCEPT PART LYING TO THE SOUTH WEST OF A LINE JOINING THE MOST SOUTHERLY CORNER OF SAID LOT 1 TO A POINT ON THE NORTH WEST BOUNDARY THEREOF DISTANT 158.7 FEET FROM THE MOST WESTERLY CORNER THEREOF, BLOCK B (REFERENCE PLAN 688) DISTRICT LOT 1349</t>
  </si>
  <si>
    <t xml:space="preserve">005184801</t>
  </si>
  <si>
    <t xml:space="preserve">LOT 2 (SEE 376707L) BLOCK B (REFERENCE PLAN 688) DISTRICT LOT 1349 GROUP 1 NEW WESTMINSTER DISTRICT</t>
  </si>
  <si>
    <t xml:space="preserve">013001663</t>
  </si>
  <si>
    <t xml:space="preserve">LOT 3 (SEE 388559L), GROUP 1 NEW WESTMINSTER DISTRICT EXCEPT PART IN PLAN 16210, BLOCK B DISTRICT LOT 1349</t>
  </si>
  <si>
    <t xml:space="preserve">011686324</t>
  </si>
  <si>
    <t xml:space="preserve">LOT 13 DISTRICT LOT 1347 PLAN 2230</t>
  </si>
  <si>
    <t xml:space="preserve">013966456</t>
  </si>
  <si>
    <t xml:space="preserve">BLOCK 11 DISTRICT LOT 1347 PLAN 2230</t>
  </si>
  <si>
    <t xml:space="preserve">013966430</t>
  </si>
  <si>
    <t xml:space="preserve">BLOCK 8 DISTRICT LOT 1347 PLAN 2230</t>
  </si>
  <si>
    <t xml:space="preserve">005178819</t>
  </si>
  <si>
    <t xml:space="preserve">LOT 49 BLOCK C DISTRICT LOT 1426 PLAN 18459</t>
  </si>
  <si>
    <t xml:space="preserve">015944107</t>
  </si>
  <si>
    <t xml:space="preserve">LOT A (REFERENCE PLAN 496) DISTRICT LOT 1349 GROUP 1 NEW WESTMINSTER DISTRICT</t>
  </si>
  <si>
    <t xml:space="preserve">014368595</t>
  </si>
  <si>
    <t xml:space="preserve">LOT A (SEE 548059L) OF LOT 1 (REFERENCE PLAN 4166) BLOCK B (REFERENCE PLAN 688) DISTRICT LOT 1349 GROUP 1 NEW WESTMINSTER DISTRICT</t>
  </si>
  <si>
    <t xml:space="preserve">014593548</t>
  </si>
  <si>
    <t xml:space="preserve">LOT E DISTRICT LOTS 1347 AND 1349 PLAN 22359</t>
  </si>
  <si>
    <t xml:space="preserve">004353781</t>
  </si>
  <si>
    <t xml:space="preserve">LOT F DISTRICT LOT 1347 PLAN 2230</t>
  </si>
  <si>
    <t xml:space="preserve">006861474</t>
  </si>
  <si>
    <t xml:space="preserve">DISTRICT LOT 1828 GROUP 1 NEW WESTMINSTER DISTRICT</t>
  </si>
  <si>
    <t xml:space="preserve">031885136</t>
  </si>
  <si>
    <t xml:space="preserve">LOT 11 DISTRICT LOT 1347 GROUP 1 NEW WESTMINSTER DISTRICT PLAN EPP119364</t>
  </si>
  <si>
    <t xml:space="preserve">014593513</t>
  </si>
  <si>
    <t xml:space="preserve">LOT D DISTRICT LOTS 1347 AND 1349 PLAN 22359</t>
  </si>
  <si>
    <t xml:space="preserve">014593491</t>
  </si>
  <si>
    <t xml:space="preserve">LOT B DISTRICT LOT 1347 PLAN 22359</t>
  </si>
  <si>
    <t xml:space="preserve">016595084</t>
  </si>
  <si>
    <t xml:space="preserve">LOT I DISTRICT LOT 1349 PLAN 23036</t>
  </si>
  <si>
    <t xml:space="preserve">014593505</t>
  </si>
  <si>
    <t xml:space="preserve">LOT C DISTRICT LOT 1347 PLAN 22359</t>
  </si>
  <si>
    <t xml:space="preserve">008004463</t>
  </si>
  <si>
    <t xml:space="preserve">LOT A (EXPLANATORY PLAN 9578) BLOCK 10 DISTRICT LOT 1347 PLAN 2230</t>
  </si>
  <si>
    <t xml:space="preserve">028132262</t>
  </si>
  <si>
    <t xml:space="preserve">LOT 23 DISTRICT LOT 1548 GROUP 1 NEW WESTMINSTER DISTRICT PLAN BCP43265</t>
  </si>
  <si>
    <t xml:space="preserve">028132271</t>
  </si>
  <si>
    <t xml:space="preserve">LOT 24 DISTRICT LOT 1548 GROUP 1 NEW WESTMINSTER DISTRICT PLAN BCP43265</t>
  </si>
  <si>
    <t xml:space="preserve">028132289</t>
  </si>
  <si>
    <t xml:space="preserve">LOT 25 DISTRICT LOT 1548 GROUP 1 NEW WESTMINSTER DISTRICT PLAN BCP43265</t>
  </si>
  <si>
    <t xml:space="preserve">028132297</t>
  </si>
  <si>
    <t xml:space="preserve">LOT 26 DISTRICT LOT 1548 GROUP 1 NEW WESTMINSTER DISTRICT PLAN BCP43265</t>
  </si>
  <si>
    <t xml:space="preserve">028132301</t>
  </si>
  <si>
    <t xml:space="preserve">LOT 27 DISTRICT LOT 1548 GROUP 1 NEW WESTMINSTER DISTRICT PLAN BCP43265</t>
  </si>
  <si>
    <t xml:space="preserve">028132319</t>
  </si>
  <si>
    <t xml:space="preserve">LOT 28 DISTRICT LOT 1548 GROUP 1 NEW WESTMINSTER DISTRICT PLAN BCP43265</t>
  </si>
  <si>
    <t xml:space="preserve">028132327</t>
  </si>
  <si>
    <t xml:space="preserve">LOT 29 DISTRICT LOT 1548 GROUP 1 NEW WESTMINSTER DISTRICT PLAN BCP43265</t>
  </si>
  <si>
    <t xml:space="preserve">028132335</t>
  </si>
  <si>
    <t xml:space="preserve">LOT 30 DISTRICT LOT 1548 GROUP 1 NEW WESTMINSTER DISTRICT PLAN BCP43265</t>
  </si>
  <si>
    <t xml:space="preserve">028132343</t>
  </si>
  <si>
    <t xml:space="preserve">LOT 31 DISTRICT LOT 1548 GROUP 1 NEW WESTMINSTER DISTRICT PLAN BCP43265</t>
  </si>
  <si>
    <t xml:space="preserve">028132351</t>
  </si>
  <si>
    <t xml:space="preserve">LOT 32 DISTRICT LOT 1548 GROUP 1 NEW WESTMINSTER DISTRICT PLAN BCP43265</t>
  </si>
  <si>
    <t xml:space="preserve">028132360</t>
  </si>
  <si>
    <t xml:space="preserve">LOT 33 DISTRICT LOT 1548 GROUP 1 NEW WESTMINSTER DISTRICT PLAN BCP43265</t>
  </si>
  <si>
    <t xml:space="preserve">028132548</t>
  </si>
  <si>
    <t xml:space="preserve">LOT 51 DISTRICT LOT 1548 GROUP 1 NEW WESTMINSTER DISTRICT PLAN BCP43265</t>
  </si>
  <si>
    <t xml:space="preserve">029493170</t>
  </si>
  <si>
    <t xml:space="preserve">LOT C DISTRICT LOT 1548 GROUP 1 NEW WESTMINSTER DISTRICT PLAN EPP43226</t>
  </si>
  <si>
    <t xml:space="preserve">029493188</t>
  </si>
  <si>
    <t xml:space="preserve">LOT D DISTRICT LOT 1548 GROUP 1 NEW WESTMINSTER DISTRICT PLAN EPP43226</t>
  </si>
  <si>
    <t xml:space="preserve">029493196</t>
  </si>
  <si>
    <t xml:space="preserve">LOT E DISTRICT LOT 1548 GROUP 1 NEW WESTMINSTER DISTRICT PLAN EPP43226</t>
  </si>
  <si>
    <t xml:space="preserve">029493200</t>
  </si>
  <si>
    <t xml:space="preserve">LOT F DISTRICT LOT 1548 GROUP 1 NEW WESTMINSTER DISTRICT PLAN EPP43226</t>
  </si>
  <si>
    <t xml:space="preserve">017793513</t>
  </si>
  <si>
    <t xml:space="preserve">LOT F BLOCK C DISTRICT LOT 492 PLAN LMP4859</t>
  </si>
  <si>
    <t xml:space="preserve">027365905</t>
  </si>
  <si>
    <t xml:space="preserve">LOT B DISTRICT LOT 492 GROUP 1 NEW WESTMINSTER DISTRICT PLAN BCP34106</t>
  </si>
  <si>
    <t xml:space="preserve">017793602</t>
  </si>
  <si>
    <t xml:space="preserve">LOT O BLOCK C DISTRICT LOT 492 PLAN LMP4859</t>
  </si>
  <si>
    <t xml:space="preserve">017793491</t>
  </si>
  <si>
    <t xml:space="preserve">LOT D BLOCK C DISTRICT LOT 492 PLAN LMP4859</t>
  </si>
  <si>
    <t xml:space="preserve">017793521</t>
  </si>
  <si>
    <t xml:space="preserve">LOT G BLOCK C DISTRICT LOT 492 PLAN LMP4859</t>
  </si>
  <si>
    <t xml:space="preserve">017793564</t>
  </si>
  <si>
    <t xml:space="preserve">LOT K BLOCK C DISTRICT LOT 492 PLAN LMP4859</t>
  </si>
  <si>
    <t xml:space="preserve">017793467</t>
  </si>
  <si>
    <t xml:space="preserve">LOT A BLOCK C DISTRICT LOT 492 PLAN LMP4859</t>
  </si>
  <si>
    <t xml:space="preserve">017793599</t>
  </si>
  <si>
    <t xml:space="preserve">LOT N BLOCK C DISTRICT LOT 492 PLAN LMP4859</t>
  </si>
  <si>
    <t xml:space="preserve">017793530</t>
  </si>
  <si>
    <t xml:space="preserve">LOT H BLOCK C DISTRICT LOT 492 PLAN LMP4859</t>
  </si>
  <si>
    <t xml:space="preserve">017793581</t>
  </si>
  <si>
    <t xml:space="preserve">LOT M BLOCK C DISTRICT LOT 492 PLAN LMP4859</t>
  </si>
  <si>
    <t xml:space="preserve">017793475</t>
  </si>
  <si>
    <t xml:space="preserve">LOT B BLOCK C DISTRICT LOT 492 PLAN LMP4859</t>
  </si>
  <si>
    <t xml:space="preserve">026077591</t>
  </si>
  <si>
    <t xml:space="preserve">LOT 5 DISTRICT LOTS 492 AND 1546 GROUP 1 NEW WESTMINSTER DISTRICT PLAN BCP12917</t>
  </si>
  <si>
    <t xml:space="preserve">006030475</t>
  </si>
  <si>
    <t xml:space="preserve">LOT 156 BLOCK B DISTRICT LOT 492 PLAN 19050</t>
  </si>
  <si>
    <t xml:space="preserve">025929267</t>
  </si>
  <si>
    <t xml:space="preserve">LOT A DISTRICT LOT 1547 GROUP 1 NEW WESTMINSTER DISTRICT PLAN BCP10834</t>
  </si>
  <si>
    <t xml:space="preserve">RR3</t>
  </si>
  <si>
    <t xml:space="preserve">005486564</t>
  </si>
  <si>
    <t xml:space="preserve">LOT 7 BLOCK D DISTRICT LOT 492 PLAN 21034</t>
  </si>
  <si>
    <t xml:space="preserve">005486491</t>
  </si>
  <si>
    <t xml:space="preserve">LOT 4 BLOCK D DISTRICT LOT 492 PLAN 21034</t>
  </si>
  <si>
    <t xml:space="preserve">005486548</t>
  </si>
  <si>
    <t xml:space="preserve">LOT 6 BLOCK D DISTRICT LOT 492 PLAN 21034</t>
  </si>
  <si>
    <t xml:space="preserve">005486483</t>
  </si>
  <si>
    <t xml:space="preserve">LOT 3 BLOCK D DISTRICT LOT 492 PLAN 21034</t>
  </si>
  <si>
    <t xml:space="preserve">006777538</t>
  </si>
  <si>
    <t xml:space="preserve">LOT A DISTRICT LOT 6849 PLAN 21159</t>
  </si>
  <si>
    <t xml:space="preserve">025790528</t>
  </si>
  <si>
    <t xml:space="preserve">LOT 1 DISTRICT LOT 1547 GROUP 1 NEW WESTMINSTER DISTRICT PLAN BCP7952</t>
  </si>
  <si>
    <t xml:space="preserve">023264055</t>
  </si>
  <si>
    <t xml:space="preserve">LOT I DISTRICT LOT 1426 GROUP 1 NEW WESTMINSTER DISTRICT PLAN LMP26014</t>
  </si>
  <si>
    <t xml:space="preserve">005486521</t>
  </si>
  <si>
    <t xml:space="preserve">LOT 5 BLOCK D DISTRICT LOT 492 PLAN 21034</t>
  </si>
  <si>
    <t xml:space="preserve">025541994</t>
  </si>
  <si>
    <t xml:space="preserve">LOT A DISTRICT LOT 1547 GROUP 1 NEW WESTMINSTER DISTRICT PLAN BCP2724</t>
  </si>
  <si>
    <t xml:space="preserve">025929275</t>
  </si>
  <si>
    <t xml:space="preserve">LOT B DISTRICT LOT 1547 GROUP 1 NEW WESTMINSTER DISTRICT PLAN BCP10834</t>
  </si>
  <si>
    <t xml:space="preserve">023908165</t>
  </si>
  <si>
    <t xml:space="preserve">LOT 4 DISTRICT LOT 489 GROUP 1 NEW WESTMINSTER DISTRICT PLAN LMP35130</t>
  </si>
  <si>
    <t xml:space="preserve">023264047</t>
  </si>
  <si>
    <t xml:space="preserve">LOT H DISTRICT LOT 1426 GROUP 1 NEW WESTMINSTER DISTRICT PLAN LMP26014</t>
  </si>
  <si>
    <t xml:space="preserve">011458780</t>
  </si>
  <si>
    <t xml:space="preserve">LOT 5 DISTRICT LOT 1334 PLAN 4620</t>
  </si>
  <si>
    <t xml:space="preserve">011459000</t>
  </si>
  <si>
    <t xml:space="preserve">LOT 18 DISTRICT LOT 1334 PLAN 4620</t>
  </si>
  <si>
    <t xml:space="preserve">011458844</t>
  </si>
  <si>
    <t xml:space="preserve">LOT 10 DISTRICT LOT 1334 PLAN 4620</t>
  </si>
  <si>
    <t xml:space="preserve">011458968</t>
  </si>
  <si>
    <t xml:space="preserve">LOT 15 DISTRICT LOT 1334 PLAN 4620</t>
  </si>
  <si>
    <t xml:space="preserve">005334641</t>
  </si>
  <si>
    <t xml:space="preserve">LOT 30 DISTRICT LOT 1334 PLAN 4620</t>
  </si>
  <si>
    <t xml:space="preserve">011459158</t>
  </si>
  <si>
    <t xml:space="preserve">LOT 24 DISTRICT LOT 1334 PLAN 4620</t>
  </si>
  <si>
    <t xml:space="preserve">003643123</t>
  </si>
  <si>
    <t xml:space="preserve">LOT 21 DISTRICT LOT 1334 PLAN 4620</t>
  </si>
  <si>
    <t xml:space="preserve">011458828</t>
  </si>
  <si>
    <t xml:space="preserve">LOT 9 DISTRICT LOT 1334 PLAN 4620</t>
  </si>
  <si>
    <t xml:space="preserve">011458763</t>
  </si>
  <si>
    <t xml:space="preserve">LOT 4 DISTRICT LOT 1334 PLAN 4620</t>
  </si>
  <si>
    <t xml:space="preserve">011458739</t>
  </si>
  <si>
    <t xml:space="preserve">LOT 2 DISTRICT LOT 1334 PLAN 4620</t>
  </si>
  <si>
    <t xml:space="preserve">011459026</t>
  </si>
  <si>
    <t xml:space="preserve">LOT 19 DISTRICT LOT 1334 PLAN 4620</t>
  </si>
  <si>
    <t xml:space="preserve">009486402</t>
  </si>
  <si>
    <t xml:space="preserve">LOT 7 DISTRICT LOT 1334 PLAN 4620</t>
  </si>
  <si>
    <t xml:space="preserve">011459051</t>
  </si>
  <si>
    <t xml:space="preserve">LOT 20 DISTRICT LOT 1334 PLAN 4620</t>
  </si>
  <si>
    <t xml:space="preserve">011458712</t>
  </si>
  <si>
    <t xml:space="preserve">LOT 1 DISTRICT LOT 1334 PLAN 4620</t>
  </si>
  <si>
    <t xml:space="preserve">011459221</t>
  </si>
  <si>
    <t xml:space="preserve">LOT 31 DISTRICT LOT 1334 PLAN 4620</t>
  </si>
  <si>
    <t xml:space="preserve">008030634</t>
  </si>
  <si>
    <t xml:space="preserve">LOT 6 DISTRICT LOT 1334 PLAN 4620</t>
  </si>
  <si>
    <t xml:space="preserve">002518015</t>
  </si>
  <si>
    <t xml:space="preserve">LOT 3 DISTRICT LOT 1334 PLAN 4620</t>
  </si>
  <si>
    <t xml:space="preserve">011458984</t>
  </si>
  <si>
    <t xml:space="preserve">LOT 17 DISTRICT LOT 1334 PLAN 4620</t>
  </si>
  <si>
    <t xml:space="preserve">030502799</t>
  </si>
  <si>
    <t xml:space="preserve">LOT A DISTRICT LOT 1334 GROUP 1 NEW WESTMINSTER DISTRICT PLAN EPP81645</t>
  </si>
  <si>
    <t xml:space="preserve">017733642</t>
  </si>
  <si>
    <t xml:space="preserve">LOT 5 DISTRICT LOT 1334 PLAN LMP3738</t>
  </si>
  <si>
    <t xml:space="preserve">018499261</t>
  </si>
  <si>
    <t xml:space="preserve">LOT 4 DISTRICT LOT 6014 PLAN LMP12767</t>
  </si>
  <si>
    <t xml:space="preserve">008159661</t>
  </si>
  <si>
    <t xml:space="preserve">LOT 27 DISTRICT LOT 1334 PLAN 4620</t>
  </si>
  <si>
    <t xml:space="preserve">005225353</t>
  </si>
  <si>
    <t xml:space="preserve">LOT 28 DISTRICT LOT 1334 PLAN 4620</t>
  </si>
  <si>
    <t xml:space="preserve">011459182</t>
  </si>
  <si>
    <t xml:space="preserve">LOT 25 DISTRICT LOT 1334 PLAN 4620</t>
  </si>
  <si>
    <t xml:space="preserve">011459131</t>
  </si>
  <si>
    <t xml:space="preserve">LOT 23 DISTRICT LOT 1334 PLAN 4620</t>
  </si>
  <si>
    <t xml:space="preserve">011458941</t>
  </si>
  <si>
    <t xml:space="preserve">LOT 13 DISTRICT LOT 1334 PLAN 4620</t>
  </si>
  <si>
    <t xml:space="preserve">011458887</t>
  </si>
  <si>
    <t xml:space="preserve">LOT 11 DISTRICT LOT 1334 PLAN 4620</t>
  </si>
  <si>
    <t xml:space="preserve">011458925</t>
  </si>
  <si>
    <t xml:space="preserve">LOT 14 DISTRICT LOT 1334 PLAN 4620</t>
  </si>
  <si>
    <t xml:space="preserve">008159653</t>
  </si>
  <si>
    <t xml:space="preserve">LOT 26 DISTRICT LOT 1334 PLAN 4620</t>
  </si>
  <si>
    <t xml:space="preserve">017733634</t>
  </si>
  <si>
    <t xml:space="preserve">LOT 4 DISTRICT LOT 1334 PLAN LMP3738</t>
  </si>
  <si>
    <t xml:space="preserve">025694871</t>
  </si>
  <si>
    <t xml:space="preserve">LOT 3 DISTRICT LOT 1547 GROUP 1 NEW WESTMINSTER DISTRICT PLAN BCP6325</t>
  </si>
  <si>
    <t xml:space="preserve">024131393</t>
  </si>
  <si>
    <t xml:space="preserve">LOT 1 DISTRICT LOT 489 GROUP 1 NEW WESTMINSTER DISTRICT PLAN LMP37794</t>
  </si>
  <si>
    <t xml:space="preserve">025766414</t>
  </si>
  <si>
    <t xml:space="preserve">STRATA LOT 5 DISTRICT LOT 1347 GROUP 1 NEW WESTMINSTER DISTRICT STRATA PLAN BCS456 TOGETHER WITH AN INTEREST IN THE COMMON PROPERTY IN PROPORTION TO THE UNIT ENTITLEMENT OF THE STRATA LOT AS SHOWN ON FORM V</t>
  </si>
  <si>
    <t xml:space="preserve">025694910</t>
  </si>
  <si>
    <t xml:space="preserve">LOT 4 DISTRICT LOT 1547 GROUP 1 NEW WESTMINSTER DISTRICT PLAN BCP6325</t>
  </si>
  <si>
    <t xml:space="preserve">025694863</t>
  </si>
  <si>
    <t xml:space="preserve">LOT 2 DISTRICT LOT 1547 GROUP 1 NEW WESTMINSTER DISTRICT PLAN BCP6325</t>
  </si>
  <si>
    <t xml:space="preserve">025694901</t>
  </si>
  <si>
    <t xml:space="preserve">LOT 1 DISTRICT LOT 1547 GROUP 1 NEW WESTMINSTER DISTRICT PLAN BCP6325</t>
  </si>
  <si>
    <t xml:space="preserve">011459212</t>
  </si>
  <si>
    <t xml:space="preserve">LOT 29 DISTRICT LOT 1334 PLAN 4620</t>
  </si>
  <si>
    <t xml:space="preserve">023183781</t>
  </si>
  <si>
    <t xml:space="preserve">LOT 21 DISTRICT LOT 1547 GROUP 1 NEW WESTMINSTER DISTRICT PLAN LMP24875</t>
  </si>
  <si>
    <t xml:space="preserve">026185725</t>
  </si>
  <si>
    <t xml:space="preserve">STRATA LOT 4 DISTRICT LOT 1547 GROUP 1 NEW WESTMINSTER DISTRICT STRATA PLAN BCS1157 TOGETHER WITH AN INTEREST IN THE COMMON PROPERTY IN PROPORTION TO THE UNIT ENTITLEMENT OF THE STRATA LOT AS SHOWN ON FORM V</t>
  </si>
  <si>
    <t xml:space="preserve">026185695</t>
  </si>
  <si>
    <t xml:space="preserve">STRATA LOT 1 DISTRICT LOT 1547 GROUP 1 NEW WESTMINSTER DISTRICT STRATA PLAN BCS1157 TOGETHER WITH AN INTEREST IN THE COMMON PROPERTY IN PROPORTION TO THE UNIT ENTITLEMENT OF THE STRATA LOT AS SHOWN ON FORM V</t>
  </si>
  <si>
    <t xml:space="preserve">026185709</t>
  </si>
  <si>
    <t xml:space="preserve">STRATA LOT 2 DISTRICT LOT 1547 GROUP 1 NEW WESTMINSTER DISTRICT STRATA PLAN BCS1157 TOGETHER WITH AN INTEREST IN THE COMMON PROPERTY IN PROPORTION TO THE UNIT ENTITLEMENT OF THE STRATA LOT AS SHOWN ON FORM V</t>
  </si>
  <si>
    <t xml:space="preserve">026185717</t>
  </si>
  <si>
    <t xml:space="preserve">STRATA LOT 3 DISTRICT LOT 1547 GROUP 1 NEW WESTMINSTER DISTRICT STRATA PLAN BCS1157 TOGETHER WITH AN INTEREST IN THE COMMON PROPERTY IN PROPORTION TO THE UNIT ENTITLEMENT OF THE STRATA LOT AS SHOWN ON FORM V</t>
  </si>
  <si>
    <t xml:space="preserve">023183802</t>
  </si>
  <si>
    <t xml:space="preserve">LOT 23 DISTRICT LOT 1547 GROUP 1 NEW WESTMINSTER DISTRICT PLAN LMP24875</t>
  </si>
  <si>
    <t xml:space="preserve">027606163</t>
  </si>
  <si>
    <t xml:space="preserve">STRATA LOT 2 DISTRICT LOT 492 GROUP 1 NEW WESTMINSTER DISTRICT STRATA PLAN BCS3040 TOGETHER WITH AN INTEREST IN THE COMMON PROPERTY IN PROPORTION TO THE UNIT ENTITLEMENT OF THE STRATA LOT AS SHOWN ON FORM V</t>
  </si>
  <si>
    <t xml:space="preserve">025525484</t>
  </si>
  <si>
    <t xml:space="preserve">LOT 2 DISTRICT LOT 492 GROUP 1 NEW WESTMINSTER DISTRICT PLAN BCP1388</t>
  </si>
  <si>
    <t xml:space="preserve">025525492</t>
  </si>
  <si>
    <t xml:space="preserve">LOT 3 DISTRICT LOT 492 GROUP 1 NEW WESTMINSTER DISTRICT PLAN BCP1388</t>
  </si>
  <si>
    <t xml:space="preserve">025525506</t>
  </si>
  <si>
    <t xml:space="preserve">LOT 4 DISTRICT LOT 492 GROUP 1 NEW WESTMINSTER DISTRICT PLAN BCP1388</t>
  </si>
  <si>
    <t xml:space="preserve">025766406</t>
  </si>
  <si>
    <t xml:space="preserve">STRATA LOT 4 DISTRICT LOT 1347 GROUP 1 NEW WESTMINSTER DISTRICT STRATA PLAN BCS456 TOGETHER WITH AN INTEREST IN THE COMMON PROPERTY IN PROPORTION TO THE UNIT ENTITLEMENT OF THE STRATA LOT AS SHOWN ON FORM V</t>
  </si>
  <si>
    <t xml:space="preserve">025766384</t>
  </si>
  <si>
    <t xml:space="preserve">STRATA LOT 2 DISTRICT LOT 1347 GROUP 1 NEW WESTMINSTER DISTRICT STRATA PLAN BCS456 TOGETHER WITH AN INTEREST IN THE COMMON PROPERTY IN PROPORTION TO THE UNIT ENTITLEMENT OF THE STRATA LOT AS SHOWN ON FORM V</t>
  </si>
  <si>
    <t xml:space="preserve">025766392</t>
  </si>
  <si>
    <t xml:space="preserve">STRATA LOT 3 DISTRICT LOT 1347 GROUP 1 NEW WESTMINSTER DISTRICT STRATA PLAN BCS456 TOGETHER WITH AN INTEREST IN THE COMMON PROPERTY IN PROPORTION TO THE UNIT ENTITLEMENT OF THE STRATA LOT AS SHOWN ON FORM V</t>
  </si>
  <si>
    <t xml:space="preserve">025766376</t>
  </si>
  <si>
    <t xml:space="preserve">STRATA LOT 1 DISTRICT LOT 1347 GROUP 1 NEW WESTMINSTER DISTRICT STRATA PLAN BCS456 TOGETHER WITH AN INTEREST IN THE COMMON PROPERTY IN PROPORTION TO THE UNIT ENTITLEMENT OF THE STRATA LOT AS SHOWN ON FORM V</t>
  </si>
  <si>
    <t xml:space="preserve">025766422</t>
  </si>
  <si>
    <t xml:space="preserve">STRATA LOT 6 DISTRICT LOT 1347 GROUP 1 NEW WESTMINSTER DISTRICT STRATA PLAN BCS456 TOGETHER WITH AN INTEREST IN THE COMMON PROPERTY IN PROPORTION TO THE UNIT ENTITLEMENT OF THE STRATA LOT AS SHOWN ON FORM V</t>
  </si>
  <si>
    <t xml:space="preserve">011454075</t>
  </si>
  <si>
    <t xml:space="preserve">LOT 32 DISTRICT LOT 1334 PLAN 4620</t>
  </si>
  <si>
    <t xml:space="preserve">015920003</t>
  </si>
  <si>
    <t xml:space="preserve">LOT B (REFERENCE PLAN 1144) DISTRICT LOT 1947 GROUP 1 NEW WESTMINSTER DISTRICT</t>
  </si>
  <si>
    <t xml:space="preserve">023183748</t>
  </si>
  <si>
    <t xml:space="preserve">LOT 17 EXCEPT PART IN PLAN BCP2724 DISTRICT LOT 1547 GROUP 1 NEW WESTMINSTER DISTRICT PLAN LMP24875</t>
  </si>
  <si>
    <t xml:space="preserve">018042881</t>
  </si>
  <si>
    <t xml:space="preserve">LOT M EXCEPT: PART SUBDIVIDED BY PLAN LMP37794; DISTRICT LOT 489 GROUP 1 NEW WESTMINSTER DISTRICT PLAN LMP7833</t>
  </si>
  <si>
    <t xml:space="preserve">012147869</t>
  </si>
  <si>
    <t xml:space="preserve">LOT 1 (REFERENCE PLAN 1177) BLOCK B DISTRICT LOT 1426 PLAN 3802</t>
  </si>
  <si>
    <t xml:space="preserve">002687071</t>
  </si>
  <si>
    <t xml:space="preserve">LOT 4 DISTRICT LOT 1349 PLAN 20602</t>
  </si>
  <si>
    <t xml:space="preserve">002825520</t>
  </si>
  <si>
    <t xml:space="preserve">DISTRICT LOT 2194 GROUP 1 NEW WESTMINSTER DISTRICT</t>
  </si>
  <si>
    <t xml:space="preserve">013902733</t>
  </si>
  <si>
    <t xml:space="preserve">BLOCK B DISTRICT LOT 1347 PLAN 2230</t>
  </si>
  <si>
    <t xml:space="preserve">007989148</t>
  </si>
  <si>
    <t xml:space="preserve">LOT 1 BLOCK C DISTRICT LOT 1426 PLAN 13944</t>
  </si>
  <si>
    <t xml:space="preserve">013966561</t>
  </si>
  <si>
    <t xml:space="preserve">BLOCK C DISTRICT LOT 1347 PLAN 2230</t>
  </si>
  <si>
    <t xml:space="preserve">013966499</t>
  </si>
  <si>
    <t xml:space="preserve">BLOCK 15 DISTRICT LOT 1347 PLAN 2230</t>
  </si>
  <si>
    <t xml:space="preserve">015026841</t>
  </si>
  <si>
    <t xml:space="preserve">LOT 7 BLOCK D DISTRICT LOT 492 PLAN 22501</t>
  </si>
  <si>
    <t xml:space="preserve">013966529</t>
  </si>
  <si>
    <t xml:space="preserve">BLOCK 16 DISTRICT LOT 1347 PLAN 2230</t>
  </si>
  <si>
    <t xml:space="preserve">013966472</t>
  </si>
  <si>
    <t xml:space="preserve">BLOCK 14 DISTRICT LOT 1347 PLAN 2230</t>
  </si>
  <si>
    <t xml:space="preserve">003069974</t>
  </si>
  <si>
    <t xml:space="preserve">BLOCK A DISTRICT LOT 1347 PLAN 2230</t>
  </si>
  <si>
    <t xml:space="preserve">013966588</t>
  </si>
  <si>
    <t xml:space="preserve">BLOCK D DISTRICT LOT 1347 PLAN 2230</t>
  </si>
  <si>
    <t xml:space="preserve">032280947</t>
  </si>
  <si>
    <t xml:space="preserve">LOT A BLOCK D DISTRICT LOT 492 GROUP 1 NEW WESTMINSTER DISTRICT PLAN EPP136362</t>
  </si>
  <si>
    <t xml:space="preserve">005486602</t>
  </si>
  <si>
    <t xml:space="preserve">LOT 8 BLOCK D DISTRICT LOT 492 PLAN 21034 EXCEPT PLAN EPP136362</t>
  </si>
  <si>
    <t xml:space="preserve">023183578</t>
  </si>
  <si>
    <t xml:space="preserve">LOT 2 DISTRICT LOT 1546 GROUP 1 NEW WESTMINSTER DISTRICT PLAN LMP24875</t>
  </si>
  <si>
    <t xml:space="preserve">025750771</t>
  </si>
  <si>
    <t xml:space="preserve">LOT 1 DISTRICT LOTS 1547 AND 6618 GROUP 1 NEW WESTMINSTER DISTRICT PLAN BCP5499</t>
  </si>
  <si>
    <t xml:space="preserve">025790536</t>
  </si>
  <si>
    <t xml:space="preserve">LOT 2 DISTRICT LOT 1547 GROUP 1 NEW WESTMINSTER DISTRICT PLAN BCP7952</t>
  </si>
  <si>
    <t xml:space="preserve">023183616</t>
  </si>
  <si>
    <t xml:space="preserve">LOT 4 DISTRICT LOT 1546 GROUP 1 NEW WESTMINSTER DISTRICT PLAN LMP24875</t>
  </si>
  <si>
    <t xml:space="preserve">023183691</t>
  </si>
  <si>
    <t xml:space="preserve">LOT 12 DISTRICT LOTS 1546 AND 1547 GROUP 1 NEW WESTMINSTER DISTRICT PLAN LMP24875</t>
  </si>
  <si>
    <t xml:space="preserve">028488857</t>
  </si>
  <si>
    <t xml:space="preserve">LOT A DISTRICT LOT 1546 GROUP 1 NEW WESTMINSTER DISTRICT PLAN BCP47475</t>
  </si>
  <si>
    <t xml:space="preserve">023183683</t>
  </si>
  <si>
    <t xml:space="preserve">LOT 11 DISTRICT LOTS 1546 AND 1547 GROUP 1 NEW WESTMINSTER DISTRICT PLAN LMP24875</t>
  </si>
  <si>
    <t xml:space="preserve">025504517</t>
  </si>
  <si>
    <t xml:space="preserve">LOT 32 DISTRICT LOTS 1546 AND 1547 GROUP 1 NEW WESTMINSTER DISTRICT PLAN BCP1422</t>
  </si>
  <si>
    <t xml:space="preserve">025585444</t>
  </si>
  <si>
    <t xml:space="preserve">LOT 2 DISTRICT LOTS 1546, 1547 AND 6618 GROUP 1 NEW WESTMINSTER DISTRICT PLAN BCP3692</t>
  </si>
  <si>
    <t xml:space="preserve">025695002</t>
  </si>
  <si>
    <t xml:space="preserve">LOT 5 DISTRICT LOT 1547 GROUP 1 NEW WESTMINSTER DISTRICT PLAN BCP6324</t>
  </si>
  <si>
    <t xml:space="preserve">023214104</t>
  </si>
  <si>
    <t xml:space="preserve">STRATA LOT 1 DISTRICT LOT 1546 GROUP 1 NEW WESTMINSTER DISTRICT STRATA PLAN LMS2100 TOGETHER WITH AN INTEREST IN THE COMMON PROPERTY IN PROPORTION TO THE UNIT ENTITLEMENT OF THE STRATA LOT AS SHOWN ON FORM 1</t>
  </si>
  <si>
    <t xml:space="preserve">023183641</t>
  </si>
  <si>
    <t xml:space="preserve">LOT 7 DISTRICT LOTS 1546 AND 1547 GROUP 1 NEW WESTMINSTER DISTRICT PLAN LMP24875</t>
  </si>
  <si>
    <t xml:space="preserve">025750828</t>
  </si>
  <si>
    <t xml:space="preserve">LOT 5 DISTRICT LOT 1547 GROUP 1 NEW WESTMINSTER DISTRICT PLAN BCP5499</t>
  </si>
  <si>
    <t xml:space="preserve">025750801</t>
  </si>
  <si>
    <t xml:space="preserve">LOT 3 DISTRICT LOT 1547 GROUP 1 NEW WESTMINSTER DISTRICT PLAN BCP5499</t>
  </si>
  <si>
    <t xml:space="preserve">005486688</t>
  </si>
  <si>
    <t xml:space="preserve">LOT 4 BLOCK C DISTRICT LOT 492 PLAN 21034</t>
  </si>
  <si>
    <t xml:space="preserve">025942085</t>
  </si>
  <si>
    <t xml:space="preserve">LOT B DISTRICT LOTS 1547 AND 6618 GROUP 1 NEW WESTMINSTER DISTRICT PLAN BCP11242</t>
  </si>
  <si>
    <t xml:space="preserve">023214112</t>
  </si>
  <si>
    <t xml:space="preserve">STRATA LOT 2 DISTRICT LOT 1546 GROUP 1 NEW WESTMINSTER DISTRICT STRATA PLAN LMS2100 TOGETHER WITH AN INTEREST IN THE COMMON PROPERTY IN PROPORTION TO THE UNIT ENTITLEMENT OF THE STRATA LOT AS SHOWN ON FORM 1</t>
  </si>
  <si>
    <t xml:space="preserve">025695011</t>
  </si>
  <si>
    <t xml:space="preserve">LOT 6 DISTRICT LOT 1547 GROUP 1 NEW WESTMINSTER DISTRICT PLAN BCP6324</t>
  </si>
  <si>
    <t xml:space="preserve">025585436</t>
  </si>
  <si>
    <t xml:space="preserve">LOT 1 DISTRICT LOTS 1546 AND 1547 GROUP 1 NEW WESTMINSTER DISTRICT PLAN BCP3692</t>
  </si>
  <si>
    <t xml:space="preserve">025504525</t>
  </si>
  <si>
    <t xml:space="preserve">LOT 33 DISTRICT LOTS 1546 AND 1547 GROUP 1 NEW WESTMINSTER DISTRICT PLAN BCP1422</t>
  </si>
  <si>
    <t xml:space="preserve">025750810</t>
  </si>
  <si>
    <t xml:space="preserve">LOT 4 DISTRICT LOT 1547 GROUP 1 NEW WESTMINSTER DISTRICT PLAN BCP5499</t>
  </si>
  <si>
    <t xml:space="preserve">023183659</t>
  </si>
  <si>
    <t xml:space="preserve">LOT 8 DISTRICT LOTS 1546 AND 1547 GROUP 1 NEW WESTMINSTER DISTRICT PLAN LMP24875</t>
  </si>
  <si>
    <t xml:space="preserve">025942077</t>
  </si>
  <si>
    <t xml:space="preserve">LOT A DISTRICT LOT 1547 GROUP 1 NEW WESTMINSTER DISTRICT PLAN BCP11242</t>
  </si>
  <si>
    <t xml:space="preserve">025790544</t>
  </si>
  <si>
    <t xml:space="preserve">LOT 3 DISTRICT LOT 1547 GROUP 1 NEW WESTMINSTER DISTRICT PLAN BCP7952</t>
  </si>
  <si>
    <t xml:space="preserve">005486661</t>
  </si>
  <si>
    <t xml:space="preserve">LOT 3 BLOCK C DISTRICT LOT 492 PLAN 21034</t>
  </si>
  <si>
    <t xml:space="preserve">025525476</t>
  </si>
  <si>
    <t xml:space="preserve">LOT 1 DISTRICT LOT 492 GROUP 1 NEW WESTMINSTER DISTRICT PLAN BCP1388</t>
  </si>
  <si>
    <t xml:space="preserve">027606155</t>
  </si>
  <si>
    <t xml:space="preserve">STRATA LOT 1 DISTRICT LOT 492 GROUP 1 NEW WESTMINSTER DISTRICT STRATA PLAN BCS3040 TOGETHER WITH AN INTEREST IN THE COMMON PROPERTY IN PROPORTION TO THE UNIT ENTITLEMENT OF THE STRATA LOT AS SHOWN ON FORM V</t>
  </si>
  <si>
    <t xml:space="preserve">027606171</t>
  </si>
  <si>
    <t xml:space="preserve">STRATA LOT 3 DISTRICT LOT 492 GROUP 1 NEW WESTMINSTER DISTRICT STRATA PLAN BCS3040 TOGETHER WITH AN INTEREST IN THE COMMON PROPERTY IN PROPORTION TO THE UNIT ENTITLEMENT OF THE STRATA LOT AS SHOWN ON FORM V</t>
  </si>
  <si>
    <t xml:space="preserve">023183608</t>
  </si>
  <si>
    <t xml:space="preserve">LOT 3 DISTRICT LOT 1546 GROUP 1 NEW WESTMINSTER DISTRICT PLAN LMP24875</t>
  </si>
  <si>
    <t xml:space="preserve">006194699</t>
  </si>
  <si>
    <t xml:space="preserve">LOT 17 BLOCK A DISTRICT LOT 1545 PLAN 13739</t>
  </si>
  <si>
    <t xml:space="preserve">SR</t>
  </si>
  <si>
    <t xml:space="preserve">008007837</t>
  </si>
  <si>
    <t xml:space="preserve">LOT 19 BLOCK C DISTRICT LOT 1426 PLAN 13841</t>
  </si>
  <si>
    <t xml:space="preserve">006860869</t>
  </si>
  <si>
    <t xml:space="preserve">LOT 13 OF LOT 3 BLOCK A DISTRICT LOT 492 PLAN 20148</t>
  </si>
  <si>
    <t xml:space="preserve">008038767</t>
  </si>
  <si>
    <t xml:space="preserve">LOT 28 BLOCKS B, E AND F DISTRICT LOT 492 PLAN 13685</t>
  </si>
  <si>
    <t xml:space="preserve">008922527</t>
  </si>
  <si>
    <t xml:space="preserve">LOT 4 BLOCK F DISTRICT LOT 3042 PLAN 12258</t>
  </si>
  <si>
    <t xml:space="preserve">008509336</t>
  </si>
  <si>
    <t xml:space="preserve">LOT 12 BLOCK B DISTRICT LOT 1545 PLAN 13739</t>
  </si>
  <si>
    <t xml:space="preserve">026907194</t>
  </si>
  <si>
    <t xml:space="preserve">LOT A DISTRICT LOT 492 GROUP 1 NEW WESTMINSTER DISTRICT PLAN BCP27466</t>
  </si>
  <si>
    <t xml:space="preserve">008040257</t>
  </si>
  <si>
    <t xml:space="preserve">LOT 104 BLOCKS B, E AND F DISTRICT LOT 492 PLAN 13685</t>
  </si>
  <si>
    <t xml:space="preserve">007511132</t>
  </si>
  <si>
    <t xml:space="preserve">LOT D BLOCKS B, E AND F DISTRICT LOT 492 PLAN 16528</t>
  </si>
  <si>
    <t xml:space="preserve">008893497</t>
  </si>
  <si>
    <t xml:space="preserve">LOT 7 OF LOT 3 BLOCK A DISTRICT LOT 492 PLAN 12397</t>
  </si>
  <si>
    <t xml:space="preserve">002560810</t>
  </si>
  <si>
    <t xml:space="preserve">LOT 5 BLOCK E DISTRICT LOT 3042 PLAN 11909</t>
  </si>
  <si>
    <t xml:space="preserve">008039283</t>
  </si>
  <si>
    <t xml:space="preserve">LOT 82 BLOCKS B, E AND F DISTRICT LOT 492 PLAN 13685</t>
  </si>
  <si>
    <t xml:space="preserve">006340539</t>
  </si>
  <si>
    <t xml:space="preserve">STRATA LOT 12 DISTRICT LOT 492 STRATA PLAN VR. 1052, TOGETHER WITH AN INTEREST IN THE COMMON PROPERTY IN PROPORTION TO THE UNIT ENTITLEMENT OF THE STRATA LOT AS SHOWN ON FORM 1.</t>
  </si>
  <si>
    <t xml:space="preserve">007850018</t>
  </si>
  <si>
    <t xml:space="preserve">LOT 6 BLOCK D DISTRICT LOT 3042 PLAN 10987</t>
  </si>
  <si>
    <t xml:space="preserve">006340636</t>
  </si>
  <si>
    <t xml:space="preserve">STRATA LOT 16 DISTRICT LOT 492 STRATA PLAN VR. 1052, TOGETHER WITH AN INTEREST IN THE COMMON PROPERTY IN PROPORTION TO THE UNIT ENTITLEMENT OF THE STRATA LOT AS SHOWN ON FORM 1.</t>
  </si>
  <si>
    <t xml:space="preserve">011517221</t>
  </si>
  <si>
    <t xml:space="preserve">STRATA LOT 5 DISTRICT LOT 492 STRATA PLAN VR. 2166 TOGETHER WITH AN INTEREST IN THE COMMON PROPERTY IN PROPORTION TO THE UNIT ENTITLEMENT OF THE STRATA LOT AS SHOWN ON FORM 1.</t>
  </si>
  <si>
    <t xml:space="preserve">008007691</t>
  </si>
  <si>
    <t xml:space="preserve">LOT 14 BLOCK C DISTRICT LOT 1426 PLAN 13841</t>
  </si>
  <si>
    <t xml:space="preserve">008040249</t>
  </si>
  <si>
    <t xml:space="preserve">LOT 103 BLOCKS B, E AND F DISTRICT LOT 492 PLAN 13685</t>
  </si>
  <si>
    <t xml:space="preserve">008498351</t>
  </si>
  <si>
    <t xml:space="preserve">LOT 16 BLOCK A DISTRICT LOT 1545 PLAN 13739</t>
  </si>
  <si>
    <t xml:space="preserve">009431233</t>
  </si>
  <si>
    <t xml:space="preserve">LOT 19 BLOCK B DISTRICT LOT 3042 PLAN 10390</t>
  </si>
  <si>
    <t xml:space="preserve">008039232</t>
  </si>
  <si>
    <t xml:space="preserve">LOT 79 BLOCKS B, E AND F DISTRICT LOT 492 PLAN 13685</t>
  </si>
  <si>
    <t xml:space="preserve">027294331</t>
  </si>
  <si>
    <t xml:space="preserve">STRATA LOT 11 DISTRICT LOT 1545 GROUP 1 NEW WESTMINSTER DISTRICT STRATA PLAN BCS2586 TOGETHER WITH AN INTEREST IN THE COMMON PROPERTY IN PROPORTION TO THE UNIT ENTITLEMENT OF THE STRATA LOT AS SHOWN ON FORM V</t>
  </si>
  <si>
    <t xml:space="preserve">006551882</t>
  </si>
  <si>
    <t xml:space="preserve">LOT 28 BLOCK B DISTRICT LOT 3042 PLAN 13160</t>
  </si>
  <si>
    <t xml:space="preserve">023908157</t>
  </si>
  <si>
    <t xml:space="preserve">LOT 3 DISTRICT LOT 489 GROUP 1 NEW WESTMINSTER DISTRICT PLAN LMP35130</t>
  </si>
  <si>
    <t xml:space="preserve">014964341</t>
  </si>
  <si>
    <t xml:space="preserve">LOT 15 BLOCK A DISTRICT LOT 492 PLAN 22485</t>
  </si>
  <si>
    <t xml:space="preserve">008810923</t>
  </si>
  <si>
    <t xml:space="preserve">LOT 2 BLOCK A DISTRICT LOT 492 PLAN 12758</t>
  </si>
  <si>
    <t xml:space="preserve">004954823</t>
  </si>
  <si>
    <t xml:space="preserve">STRATA LOT 9 DISTRICT LOT 492 STRATA PLAN VR. 1052 TOGETHER WITH AN INTEREST IN THE COMMON PROPERTY IN PROPORTION TO THE UNIT ENTITLEMENT OF THE STRATA LOT AS SHOWN ON FORM 1.</t>
  </si>
  <si>
    <t xml:space="preserve">004705858</t>
  </si>
  <si>
    <t xml:space="preserve">LOT 61 BLOCKS B, E AND F DISTRICT LOT 492 PLAN 13685</t>
  </si>
  <si>
    <t xml:space="preserve">008922543</t>
  </si>
  <si>
    <t xml:space="preserve">LOT 5 BLOCK F DISTRICT LOT 3042 PLAN 12258</t>
  </si>
  <si>
    <t xml:space="preserve">009431217</t>
  </si>
  <si>
    <t xml:space="preserve">LOT 18 BLOCK B DISTRICT LOT 3042 PLAN 10390</t>
  </si>
  <si>
    <t xml:space="preserve">011517204</t>
  </si>
  <si>
    <t xml:space="preserve">STRATA LOT 4 DISTRICT LOT 492 STRATA PLAN VR. 2166 TOGETHER WITH AN INTEREST IN THE COMMON PROPERTY IN PROPORTION TO THE UNIT ENTITLEMENT OF THE STRATA LOT AS SHOWN ON FORM 1.</t>
  </si>
  <si>
    <t xml:space="preserve">008871370</t>
  </si>
  <si>
    <t xml:space="preserve">LOT G OF LOT 1 BLOCK A DISTRICT LOT 492 PLAN 12618</t>
  </si>
  <si>
    <t xml:space="preserve">008893446</t>
  </si>
  <si>
    <t xml:space="preserve">LOT 2 OF LOT 3 BLOCK A DISTRICT LOT 492 PLAN 12397</t>
  </si>
  <si>
    <t xml:space="preserve">004805143</t>
  </si>
  <si>
    <t xml:space="preserve">LOT 26 BLOCK C DISTRICT LOT 1426 PLAN 13841</t>
  </si>
  <si>
    <t xml:space="preserve">006340709</t>
  </si>
  <si>
    <t xml:space="preserve">STRATA LOT 20 DISTRICT LOT 492 STRATA PLAN VR. 1052, TOGETHER WITH AN INTEREST IN THE COMMON PROPERTY IN PROPORTION TO THE UNIT ENTITLEMENT OF THE STRATA LOT AS SHOWN ON FORM 1.</t>
  </si>
  <si>
    <t xml:space="preserve">008498199</t>
  </si>
  <si>
    <t xml:space="preserve">LOT 2 BLOCK A DISTRICT LOT 1545 PLAN 13739</t>
  </si>
  <si>
    <t xml:space="preserve">026907216</t>
  </si>
  <si>
    <t xml:space="preserve">LOT C DISTRICT LOT 492 GROUP 1 NEW WESTMINSTER DISTRICT PLAN BCP27466</t>
  </si>
  <si>
    <t xml:space="preserve">007561610</t>
  </si>
  <si>
    <t xml:space="preserve">LOT 62 BLOCKS B, E AND F DISTRICT LOT 492 PLAN 13685</t>
  </si>
  <si>
    <t xml:space="preserve">007066317</t>
  </si>
  <si>
    <t xml:space="preserve">LOT R BLOCKS B, E AND F DISTRICT LOT 492 PLAN 19154</t>
  </si>
  <si>
    <t xml:space="preserve">007511086</t>
  </si>
  <si>
    <t xml:space="preserve">LOT C BLOCKS B, E AND F DISTRICT LOT 492 PLAN 16528</t>
  </si>
  <si>
    <t xml:space="preserve">027294579</t>
  </si>
  <si>
    <t xml:space="preserve">STRATA LOT 11 DISTRICT LOT 1545 GROUP 1 NEW WESTMINSTER DISTRICT STRATA PLAN BCS2587 TOGETHER WITH AN INTEREST IN THE COMMON PROPERTY IN PROPORTION TO THE UNIT ENTITLEMENT OF THE STRATA LOT AS SHOWN ON FORM V</t>
  </si>
  <si>
    <t xml:space="preserve">008038813</t>
  </si>
  <si>
    <t xml:space="preserve">LOT 30 BLOCKS B, E AND F DISTRICT LOT 492 PLAN 13685</t>
  </si>
  <si>
    <t xml:space="preserve">009475320</t>
  </si>
  <si>
    <t xml:space="preserve">LOT 12 BLOCK A DISTRICT LOT 3042 PLAN 10353</t>
  </si>
  <si>
    <t xml:space="preserve">008040273</t>
  </si>
  <si>
    <t xml:space="preserve">LOT 105 BLOCKS B, E AND F DISTRICT LOT 492 PLAN 13685</t>
  </si>
  <si>
    <t xml:space="preserve">008038830</t>
  </si>
  <si>
    <t xml:space="preserve">LOT 31 BLOCKS B, E AND F DISTRICT LOT 492 PLAN 13685</t>
  </si>
  <si>
    <t xml:space="preserve">006340580</t>
  </si>
  <si>
    <t xml:space="preserve">STRATA LOT 14 DISTRICT LOT 492 STRATA PLAN VR. 1052, TOGETHER WITH AN INTEREST IN THE COMMON PROPERTY IN PROPORTION TO THE UNIT ENTITLEMENT OF THE STRATA LOT AS SHOWN ON FORM 1.</t>
  </si>
  <si>
    <t xml:space="preserve">006384633</t>
  </si>
  <si>
    <t xml:space="preserve">LOT P BLOCKS B, E AND F DISTRICT LOT 492 PLAN 17703</t>
  </si>
  <si>
    <t xml:space="preserve">027294285</t>
  </si>
  <si>
    <t xml:space="preserve">STRATA LOT 6 DISTRICT LOT 1545 GROUP 1 NEW WESTMINSTER DISTRICT STRATA PLAN BCS2586 TOGETHER WITH AN INTEREST IN THE COMMON PROPERTY IN PROPORTION TO THE UNIT ENTITLEMENT OF THE STRATA LOT AS SHOWN ON FORM V</t>
  </si>
  <si>
    <t xml:space="preserve">018101003</t>
  </si>
  <si>
    <t xml:space="preserve">LOT 1 BLOCK A DISTRICT LOT 492 PLAN LMP8798</t>
  </si>
  <si>
    <t xml:space="preserve">016763343</t>
  </si>
  <si>
    <t xml:space="preserve">STRATA LOT 5 DISTRICT LOT 3042 STRATA PLAN VR. 2784 TOGETHER WITH AN INTEREST IN THE COMMON PROPERTY IN PROPORTION TO THE UNIT ENTITLEMENT OF THE STRATA LOT AS SHOWN ON FORM 1.</t>
  </si>
  <si>
    <t xml:space="preserve">002929741</t>
  </si>
  <si>
    <t xml:space="preserve">LOT 141 BLOCK B DISTRICT LOT 492 PLAN 18867</t>
  </si>
  <si>
    <t xml:space="preserve">027293190</t>
  </si>
  <si>
    <t xml:space="preserve">STRATA LOT 10 DISTRICT LOT 1545 GROUP 1 NEW WESTMINSTER DISTRICT STRATA PLAN BCS2585 TOGETHER WITH AN INTEREST IN THE COMMON PROPERTY IN PROPORTION TO THE UNIT ENTITLEMENT OF THE STRATA LOT AS SHOWN ON FORM V</t>
  </si>
  <si>
    <t xml:space="preserve">016763319</t>
  </si>
  <si>
    <t xml:space="preserve">STRATA LOT 3 DISTRICT LOT 3042 STRATA PLAN VR. 2784 TOGETHER WITH AN INTEREST IN THE COMMON PROPERTY IN PROPORTION TO THE UNIT ENTITLEMENT OF THE STRATA LOT AS SHOWN ON FORM 1.</t>
  </si>
  <si>
    <t xml:space="preserve">008007853</t>
  </si>
  <si>
    <t xml:space="preserve">LOT 20 BLOCK C DISTRICT LOT 1426 PLAN 13841</t>
  </si>
  <si>
    <t xml:space="preserve">009171380</t>
  </si>
  <si>
    <t xml:space="preserve">LOT 50 BLOCK A DISTRICT LOT 3042 PLAN 11055</t>
  </si>
  <si>
    <t xml:space="preserve">008717095</t>
  </si>
  <si>
    <t xml:space="preserve">LOT 29 BLOCK B DISTRICT LOT 3042 PLAN 13160</t>
  </si>
  <si>
    <t xml:space="preserve">027293181</t>
  </si>
  <si>
    <t xml:space="preserve">STRATA LOT 9 DISTRICT LOT 1545 GROUP 1 NEW WESTMINSTER DISTRICT STRATA PLAN BCS2585 TOGETHER WITH AN INTEREST IN THE COMMON PROPERTY IN PROPORTION TO THE UNIT ENTITLEMENT OF THE STRATA LOT AS SHOWN ON FORM V</t>
  </si>
  <si>
    <t xml:space="preserve">018101011</t>
  </si>
  <si>
    <t xml:space="preserve">LOT 2 BLOCK A DISTRICT LOT 492 PLAN LMP8798</t>
  </si>
  <si>
    <t xml:space="preserve">027294501</t>
  </si>
  <si>
    <t xml:space="preserve">STRATA LOT 4 DISTRICT LOT 1545 GROUP 1 NEW WESTMINSTER DISTRICT STRATA PLAN BCS2587 TOGETHER WITH AN INTEREST IN THE COMMON PROPERTY IN PROPORTION TO THE UNIT ENTITLEMENT OF THE STRATA LOT AS SHOWN ON FORM V</t>
  </si>
  <si>
    <t xml:space="preserve">008498130</t>
  </si>
  <si>
    <t xml:space="preserve">LOT 10 OF LOT 3 BLOCK A DISTRICT LOT 492 PLAN 13741</t>
  </si>
  <si>
    <t xml:space="preserve">006340334</t>
  </si>
  <si>
    <t xml:space="preserve">STRATA LOT 3 DISTRICT LOT 492 STRATA PLAN VR. 1052, TOGETHER WITH AN INTEREST IN THE COMMON PROPERTY IN PROPORTION TO THE UNIT ENTITLEMENT OF THE STRATA LOT AS SHOWN ON FORM 1.</t>
  </si>
  <si>
    <t xml:space="preserve">008007390</t>
  </si>
  <si>
    <t xml:space="preserve">LOT 6 BLOCK C DISTRICT LOT 1426 PLAN 13841</t>
  </si>
  <si>
    <t xml:space="preserve">008007781</t>
  </si>
  <si>
    <t xml:space="preserve">LOT 17 BLOCK C DISTRICT LOT 1426 PLAN 13841</t>
  </si>
  <si>
    <t xml:space="preserve">008894299</t>
  </si>
  <si>
    <t xml:space="preserve">LOT 12 OF LOT 3 BLOCK A DISTRICT LOT 492 PLAN 12397</t>
  </si>
  <si>
    <t xml:space="preserve">008039267</t>
  </si>
  <si>
    <t xml:space="preserve">LOT 81 BLOCKS B, E AND F DISTRICT LOT 492 PLAN 13685</t>
  </si>
  <si>
    <t xml:space="preserve">009389539</t>
  </si>
  <si>
    <t xml:space="preserve">LOT 2 DISTRICT LOT 1545 PLAN 10732</t>
  </si>
  <si>
    <t xml:space="preserve">008389381</t>
  </si>
  <si>
    <t xml:space="preserve">LOT 1 BLOCK A DISTRICT LOT 492 PLAN 12758</t>
  </si>
  <si>
    <t xml:space="preserve">019177101</t>
  </si>
  <si>
    <t xml:space="preserve">STRATA LOT 22 DISTRICT LOT 492 STRATA PLAN VR1052 TOGETHER WITH AN INTEREST IN THE COMMON PROPERTY IN PROPORTION TO THE UNIT ENTITLEMENT OF THE STRATA LOT AS SHOWN ON FORM 1</t>
  </si>
  <si>
    <t xml:space="preserve">027294277</t>
  </si>
  <si>
    <t xml:space="preserve">STRATA LOT 5 DISTRICT LOT 1545 GROUP 1 NEW WESTMINSTER DISTRICT STRATA PLAN BCS2586 TOGETHER WITH AN INTEREST IN THE COMMON PROPERTY IN PROPORTION TO THE UNIT ENTITLEMENT OF THE STRATA LOT AS SHOWN ON FORM V</t>
  </si>
  <si>
    <t xml:space="preserve">008038635</t>
  </si>
  <si>
    <t xml:space="preserve">LOT 20 BLOCKS B, E AND F DISTRICT LOT 492 PLAN 13685</t>
  </si>
  <si>
    <t xml:space="preserve">006340385</t>
  </si>
  <si>
    <t xml:space="preserve">STRATA LOT 5 DISTRICT LOT 492 STRATA PLAN VR. 1052 TOGETHER WITH AN INTEREST IN THE COMMON PROPERTY IN PROPORTION TO THE UNIT ENTITLEMENT OF THE STRATA LOT AS SHOWN ON FORM 1.</t>
  </si>
  <si>
    <t xml:space="preserve">008630232</t>
  </si>
  <si>
    <t xml:space="preserve">LOT 4 BLOCK A DISTRICT LOT 492 PLAN 12758</t>
  </si>
  <si>
    <t xml:space="preserve">027294510</t>
  </si>
  <si>
    <t xml:space="preserve">STRATA LOT 5 DISTRICT LOT 1545 GROUP 1 NEW WESTMINSTER DISTRICT STRATA PLAN BCS2587 TOGETHER WITH AN INTEREST IN THE COMMON PROPERTY IN PROPORTION TO THE UNIT ENTITLEMENT OF THE STRATA LOT AS SHOWN ON FORM V</t>
  </si>
  <si>
    <t xml:space="preserve">004581628</t>
  </si>
  <si>
    <t xml:space="preserve">LOT 15 BLOCK A DISTRICT LOT 3042 PLAN 10353</t>
  </si>
  <si>
    <t xml:space="preserve">018553923</t>
  </si>
  <si>
    <t xml:space="preserve">LOT A BLOCKS B, E, AND F DISTRICT LOT 492 PLAN LMP13463</t>
  </si>
  <si>
    <t xml:space="preserve">008040354</t>
  </si>
  <si>
    <t xml:space="preserve">LOT 109 BLOCKS B, E AND F DISTRICT LOT 492 PLAN 13685</t>
  </si>
  <si>
    <t xml:space="preserve">017552621</t>
  </si>
  <si>
    <t xml:space="preserve">LOT H DISTRICT LOT 489 PLAN LMP2262</t>
  </si>
  <si>
    <t xml:space="preserve">002697041</t>
  </si>
  <si>
    <t xml:space="preserve">LOT 158 BLOCKS B, E AND F DISTRICT LOT 492 PLAN 20027</t>
  </si>
  <si>
    <t xml:space="preserve">008007454</t>
  </si>
  <si>
    <t xml:space="preserve">LOT 8 BLOCK C DISTRICT LOT 1426 PLAN 13841</t>
  </si>
  <si>
    <t xml:space="preserve">006710441</t>
  </si>
  <si>
    <t xml:space="preserve">LOT 163 BLOCKS B, E AND F DISTRICT LOT 492 PLAN 20273</t>
  </si>
  <si>
    <t xml:space="preserve">008007993</t>
  </si>
  <si>
    <t xml:space="preserve">LOT 24 BLOCK C DISTRICT LOT 1426 PLAN 13841</t>
  </si>
  <si>
    <t xml:space="preserve">006340652</t>
  </si>
  <si>
    <t xml:space="preserve">STRATA LOT 17 DISTRICT LOT 492 STRATA PLAN VR. 1052, TOGETHER WITH AN INTEREST IN THE COMMON PROPERTY IN PROPORTION TO THE UNIT ENTITLEMENT OF THE STRATA LOT AS SHOWN ON FORM 1.</t>
  </si>
  <si>
    <t xml:space="preserve">008509140</t>
  </si>
  <si>
    <t xml:space="preserve">LOT 5 BLOCK B DISTRICT LOT 1545 PLAN 13739</t>
  </si>
  <si>
    <t xml:space="preserve">009171142</t>
  </si>
  <si>
    <t xml:space="preserve">LOT 37 BLOCK A DISTRICT LOT 3042 PLAN 11055</t>
  </si>
  <si>
    <t xml:space="preserve">004140311</t>
  </si>
  <si>
    <t xml:space="preserve">LOT 77 BLOCKS B, E AND F DISTRICT LOT 492 PLAN 13685</t>
  </si>
  <si>
    <t xml:space="preserve">004628071</t>
  </si>
  <si>
    <t xml:space="preserve">LOT 166 BLOCK B DISTRICT LOT 492 PLAN 20921</t>
  </si>
  <si>
    <t xml:space="preserve">008501165</t>
  </si>
  <si>
    <t xml:space="preserve">LOT 31 BLOCK B DISTRICT LOT 3042 PLAN 13713</t>
  </si>
  <si>
    <t xml:space="preserve">009171207</t>
  </si>
  <si>
    <t xml:space="preserve">LOT 41 BLOCK A DISTRICT LOT 3042 PLAN 11055</t>
  </si>
  <si>
    <t xml:space="preserve">008038741</t>
  </si>
  <si>
    <t xml:space="preserve">LOT U BLOCKS B, E AND F DISTRICT LOT 492 PLAN 13685</t>
  </si>
  <si>
    <t xml:space="preserve">002980819</t>
  </si>
  <si>
    <t xml:space="preserve">LOT 12 BLOCKS B, E AND F DISTRICT LOT 492 PLAN 13685</t>
  </si>
  <si>
    <t xml:space="preserve">008498181</t>
  </si>
  <si>
    <t xml:space="preserve">LOT 1 BLOCK A DISTRICT LOT 1545 PLAN 13739</t>
  </si>
  <si>
    <t xml:space="preserve">009430962</t>
  </si>
  <si>
    <t xml:space="preserve">LOT 1 BLOCK B DISTRICT LOT 3042 PLAN 10390</t>
  </si>
  <si>
    <t xml:space="preserve">018822746</t>
  </si>
  <si>
    <t xml:space="preserve">LOT 1 DISTRICT LOT 489 PLAN LMP16629</t>
  </si>
  <si>
    <t xml:space="preserve">008040311</t>
  </si>
  <si>
    <t xml:space="preserve">LOT 107 BLOCKS B, E AND F DISTRICT LOT 492 PLAN 13685</t>
  </si>
  <si>
    <t xml:space="preserve">008893632</t>
  </si>
  <si>
    <t xml:space="preserve">LOT 10 OF LOT 3 BLOCK A DISTRICT LOT 492 PLAN 12397</t>
  </si>
  <si>
    <t xml:space="preserve">006340466</t>
  </si>
  <si>
    <t xml:space="preserve">STRATA LOT 8 DISTRICT LOT 492 STRATA PLAN VR. 1052, TOGETHER WITH AN INTEREST IN THE COMMON PROPERTY IN PROPORTION TO THE UNIT ENTITLEMENT OF THE STRATA LOT AS SHOWN ON FORM 1.</t>
  </si>
  <si>
    <t xml:space="preserve">008498075</t>
  </si>
  <si>
    <t xml:space="preserve">LOT 2 OF LOT 3 BLOCK A DISTRICT LOT 492 PLAN 13741</t>
  </si>
  <si>
    <t xml:space="preserve">008474320</t>
  </si>
  <si>
    <t xml:space="preserve">LOT 15 BLOCK C DISTRICT LOT 3042 PLAN 13713</t>
  </si>
  <si>
    <t xml:space="preserve">027293173</t>
  </si>
  <si>
    <t xml:space="preserve">STRATA LOT 8 DISTRICT LOT 1545 GROUP 1 NEW WESTMINSTER DISTRICT STRATA PLAN BCS2585 TOGETHER WITH AN INTEREST IN THE COMMON PROPERTY IN PROPORTION TO THE UNIT ENTITLEMENT OF THE STRATA LOT AS SHOWN ON FORM V</t>
  </si>
  <si>
    <t xml:space="preserve">003960251</t>
  </si>
  <si>
    <t xml:space="preserve">LOT 85 BLOCKS B E AND F DISTRICT LOT 492 PLAN 13685</t>
  </si>
  <si>
    <t xml:space="preserve">008039054</t>
  </si>
  <si>
    <t xml:space="preserve">LOT 57 BLOCKS B, E AND F DISTRICT LOT 492 PLAN 13685</t>
  </si>
  <si>
    <t xml:space="preserve">008509379</t>
  </si>
  <si>
    <t xml:space="preserve">LOT 13 BLOCK B DISTRICT LOT 1545 PLAN 13739</t>
  </si>
  <si>
    <t xml:space="preserve">027293165</t>
  </si>
  <si>
    <t xml:space="preserve">STRATA LOT 7 DISTRICT LOT 1545 GROUP 1 NEW WESTMINSTER DISTRICT STRATA PLAN BCS2585 TOGETHER WITH AN INTEREST IN THE COMMON PROPERTY IN PROPORTION TO THE UNIT ENTITLEMENT OF THE STRATA LOT AS SHOWN ON FORM V</t>
  </si>
  <si>
    <t xml:space="preserve">027294315</t>
  </si>
  <si>
    <t xml:space="preserve">STRATA LOT 9 DISTRICT LOT 1545 GROUP 1 NEW WESTMINSTER DISTRICT STRATA PLAN BCS2586 TOGETHER WITH AN INTEREST IN THE COMMON PROPERTY IN PROPORTION TO THE UNIT ENTITLEMENT OF THE STRATA LOT AS SHOWN ON FORM V</t>
  </si>
  <si>
    <t xml:space="preserve">009171398</t>
  </si>
  <si>
    <t xml:space="preserve">LOT 51 BLOCK A DISTRICT LOT 3042 PLAN 11055</t>
  </si>
  <si>
    <t xml:space="preserve">008017778</t>
  </si>
  <si>
    <t xml:space="preserve">LOT G BLOCKS B, E AND F DISTRICT LOT 492 PLAN 13815</t>
  </si>
  <si>
    <t xml:space="preserve">007702256</t>
  </si>
  <si>
    <t xml:space="preserve">LOT 30 BLOCK B DISTRICT LOT 3042 PLAN 13316</t>
  </si>
  <si>
    <t xml:space="preserve">027293238</t>
  </si>
  <si>
    <t xml:space="preserve">STRATA LOT 14 DISTRICT LOT 1545 GROUP 1 NEW WESTMINSTER DISTRICT STRATA PLAN BCS2585 TOGETHER WITH AN INTEREST IN THE COMMON PROPERTY IN PROPORTION TO THE UNIT ENTITLEMENT OF THE STRATA LOT AS SHOWN ON FORM V</t>
  </si>
  <si>
    <t xml:space="preserve">008039101</t>
  </si>
  <si>
    <t xml:space="preserve">LOT 63 BLOCKS B, E AND F DISTRICT LOT 492 PLAN 13685</t>
  </si>
  <si>
    <t xml:space="preserve">006860907</t>
  </si>
  <si>
    <t xml:space="preserve">LOT 14 OF LOT 3 BLOCK A DISTRICT LOT 492 PLAN 20148</t>
  </si>
  <si>
    <t xml:space="preserve">027293211</t>
  </si>
  <si>
    <t xml:space="preserve">STRATA LOT 12 DISTRICT LOT 1545 GROUP 1 NEW WESTMINSTER DISTRICT STRATA PLAN BCS2585 TOGETHER WITH AN INTEREST IN THE COMMON PROPERTY IN PROPORTION TO THE UNIT ENTITLEMENT OF THE STRATA LOT AS SHOWN ON FORM V</t>
  </si>
  <si>
    <t xml:space="preserve">008039330</t>
  </si>
  <si>
    <t xml:space="preserve">LOT 86 BLOCKS B, E AND F DISTRICT LOT 492 PLAN 13685</t>
  </si>
  <si>
    <t xml:space="preserve">008007560</t>
  </si>
  <si>
    <t xml:space="preserve">LOT 11 BLOCK C DISTRICT LOT 1426 PLAN 13841</t>
  </si>
  <si>
    <t xml:space="preserve">006340555</t>
  </si>
  <si>
    <t xml:space="preserve">STRATA LOT 13 DISTRICT LOT 492 STRATA PLAN VR. 1052, TOGETHER WITH AN INTEREST IN THE COMMON PROPERTY IN PROPORTION TO THE UNIT ENTITLEMENT OF THE STRATA LOT AS SHOWN ON FORM 1.</t>
  </si>
  <si>
    <t xml:space="preserve">027294358</t>
  </si>
  <si>
    <t xml:space="preserve">STRATA LOT 13 DISTRICT LOT 1545 GROUP 1 NEW WESTMINSTER DISTRICT STRATA PLAN BCS2586 TOGETHER WITH AN INTEREST IN THE COMMON PROPERTY IN PROPORTION TO THE UNIT ENTITLEMENT OF THE STRATA LOT AS SHOWN ON FORM V</t>
  </si>
  <si>
    <t xml:space="preserve">005025737</t>
  </si>
  <si>
    <t xml:space="preserve">LOT 49 BLOCK A DISTRICT LOT 3042 PLAN 11055</t>
  </si>
  <si>
    <t xml:space="preserve">007228244</t>
  </si>
  <si>
    <t xml:space="preserve">LOT B BLOCK A DISTRICT LOT 492 PLAN 18144</t>
  </si>
  <si>
    <t xml:space="preserve">008498211</t>
  </si>
  <si>
    <t xml:space="preserve">LOT 3 BLOCK A DISTRICT LOT 1545 PLAN 13739</t>
  </si>
  <si>
    <t xml:space="preserve">009431161</t>
  </si>
  <si>
    <t xml:space="preserve">LOT 14 BLOCK B DISTRICT LOT 3042 PLAN 10390</t>
  </si>
  <si>
    <t xml:space="preserve">008039429</t>
  </si>
  <si>
    <t xml:space="preserve">LOT 100 BLOCKS B, E AND F DISTRICT LOT 492 PLAN 13685</t>
  </si>
  <si>
    <t xml:space="preserve">027293025</t>
  </si>
  <si>
    <t xml:space="preserve">LOT 4 DISTRICT LOT 1545 GROUP 1 NEW WESTMINSTER DISTRICT PLAN BCP33065</t>
  </si>
  <si>
    <t xml:space="preserve">007843950</t>
  </si>
  <si>
    <t xml:space="preserve">LOT A BLOCK B DISTRICT LOT 3042 PLAN 14372</t>
  </si>
  <si>
    <t xml:space="preserve">008509204</t>
  </si>
  <si>
    <t xml:space="preserve">LOT 8 BLOCK B DISTRICT LOT 1545 PLAN 13739</t>
  </si>
  <si>
    <t xml:space="preserve">003434117</t>
  </si>
  <si>
    <t xml:space="preserve">STRATA LOT 19 DISTRICT LOT 492 STRATA PLAN VR. 1052 TOGETHER WITH AN INTEREST IN THE COMMON PROPERTY IN PROPORTION TO THE UNIT ENTITLEMENT OF THE STRATA LOT AS SHOWN ON FORM 1.</t>
  </si>
  <si>
    <t xml:space="preserve">008038597</t>
  </si>
  <si>
    <t xml:space="preserve">LOT 15 BLOCKS B, E AND F DISTRICT LOT 492 PLAN 13685</t>
  </si>
  <si>
    <t xml:space="preserve">008017808</t>
  </si>
  <si>
    <t xml:space="preserve">LOT I BLOCKS B, E AND F DISTRICT LOT 492 PLAN 13815</t>
  </si>
  <si>
    <t xml:space="preserve">007066309</t>
  </si>
  <si>
    <t xml:space="preserve">LOT S BLOCKS B, E AND F DISTRICT LOT 492 PLAN 19155</t>
  </si>
  <si>
    <t xml:space="preserve">008498296</t>
  </si>
  <si>
    <t xml:space="preserve">LOT 9 BLOCK A DISTRICT LOT 1545 PLAN 13739</t>
  </si>
  <si>
    <t xml:space="preserve">008039364</t>
  </si>
  <si>
    <t xml:space="preserve">LOT 93 BLOCKS B, E AND F DISTRICT LOT 492 PLAN 13685</t>
  </si>
  <si>
    <t xml:space="preserve">008498113</t>
  </si>
  <si>
    <t xml:space="preserve">LOT 7 OF LOT 3 BLOCK A DISTRICT LOT 492 PLAN 13741</t>
  </si>
  <si>
    <t xml:space="preserve">023908131</t>
  </si>
  <si>
    <t xml:space="preserve">LOT 1 DISTRICT LOT 489 GROUP 1 NEW WESTMINSTER DISTRICT PLAN LMP35130</t>
  </si>
  <si>
    <t xml:space="preserve">027293157</t>
  </si>
  <si>
    <t xml:space="preserve">STRATA LOT 6 DISTRICT LOT 1545 GROUP 1 NEW WESTMINSTER DISTRICT STRATA PLAN BCS2585 TOGETHER WITH AN INTEREST IN THE COMMON PROPERTY IN PROPORTION TO THE UNIT ENTITLEMENT OF THE STRATA LOT AS SHOWN ON FORM V</t>
  </si>
  <si>
    <t xml:space="preserve">009296492</t>
  </si>
  <si>
    <t xml:space="preserve">LOT 8 BLOCK D DISTRICT LOT 3042 PLAN 10987</t>
  </si>
  <si>
    <t xml:space="preserve">007510837</t>
  </si>
  <si>
    <t xml:space="preserve">LOT A BLOCKS B, E AND F DISTRICT LOT 492 PLAN 16528</t>
  </si>
  <si>
    <t xml:space="preserve">006992811</t>
  </si>
  <si>
    <t xml:space="preserve">LOT 157 BLOCKS B, E AND F DISTRICT LOT 492 PLAN 19590</t>
  </si>
  <si>
    <t xml:space="preserve">027294323</t>
  </si>
  <si>
    <t xml:space="preserve">STRATA LOT 10 DISTRICT LOT 1545 GROUP 1 NEW WESTMINSTER DISTRICT STRATA PLAN BCS2586 TOGETHER WITH AN INTEREST IN THE COMMON PROPERTY IN PROPORTION TO THE UNIT ENTITLEMENT OF THE STRATA LOT AS SHOWN ON FORM V</t>
  </si>
  <si>
    <t xml:space="preserve">008007811</t>
  </si>
  <si>
    <t xml:space="preserve">LOT 18 BLOCK C DISTRICT LOT 1426 PLAN 13841</t>
  </si>
  <si>
    <t xml:space="preserve">017552729</t>
  </si>
  <si>
    <t xml:space="preserve">LOT J DISTRICT LOT 489 PLAN LMP2262</t>
  </si>
  <si>
    <t xml:space="preserve">008810958</t>
  </si>
  <si>
    <t xml:space="preserve">LOT 5 BLOCK A DISTRICT LOT 492 PLAN 12758</t>
  </si>
  <si>
    <t xml:space="preserve">005868084</t>
  </si>
  <si>
    <t xml:space="preserve">LOT 8 OF LOT 3 BLOCK A DISTRICT LOT 492 PLAN 13741</t>
  </si>
  <si>
    <t xml:space="preserve">008039160</t>
  </si>
  <si>
    <t xml:space="preserve">LOT 73 BLOCKS B, E AND F DISTRICT LOT 492 PLAN 13685</t>
  </si>
  <si>
    <t xml:space="preserve">027294552</t>
  </si>
  <si>
    <t xml:space="preserve">STRATA LOT 9 DISTRICT LOT 1545 GROUP 1 NEW WESTMINSTER DISTRICT STRATA PLAN BCS2587 TOGETHER WITH AN INTEREST IN THE COMMON PROPERTY IN PROPORTION TO THE UNIT ENTITLEMENT OF THE STRATA LOT AS SHOWN ON FORM V</t>
  </si>
  <si>
    <t xml:space="preserve">008039089</t>
  </si>
  <si>
    <t xml:space="preserve">LOT 60 BLOCKS B, E AND F DISTRICT LOT 492 PLAN 13685</t>
  </si>
  <si>
    <t xml:space="preserve">008922471</t>
  </si>
  <si>
    <t xml:space="preserve">LOT 1 BLOCK F DISTRICT LOT 3042 PLAN 12258</t>
  </si>
  <si>
    <t xml:space="preserve">023258764</t>
  </si>
  <si>
    <t xml:space="preserve">LOT 4 DISTRICT LOT 489 GROUP 1 NEW WESTMINSTER DISTRICT PLAN LMP25884</t>
  </si>
  <si>
    <t xml:space="preserve">026257769</t>
  </si>
  <si>
    <t xml:space="preserve">LOT 8 DISTRICT LOT 1545 GROUP 1 NEW WESTMINSTER DISTRICT PLAN BCP16959</t>
  </si>
  <si>
    <t xml:space="preserve">008007888</t>
  </si>
  <si>
    <t xml:space="preserve">LOT 21 BLOCK C DISTRICT LOT 1426 PLAN 13841</t>
  </si>
  <si>
    <t xml:space="preserve">008039208</t>
  </si>
  <si>
    <t xml:space="preserve">LOT 75 BLOCKS B, E AND F DISTRICT LOT 492 PLAN 13685</t>
  </si>
  <si>
    <t xml:space="preserve">023527056</t>
  </si>
  <si>
    <t xml:space="preserve">LOT B BLOCK B DISTRICT LOT 492 GROUP 1 NEW WESTMINSTER DISTRICT PLAN LMP29403</t>
  </si>
  <si>
    <t xml:space="preserve">027294293</t>
  </si>
  <si>
    <t xml:space="preserve">STRATA LOT 7 DISTRICT LOT 1545 GROUP 1 NEW WESTMINSTER DISTRICT STRATA PLAN BCS2586 TOGETHER WITH AN INTEREST IN THE COMMON PROPERTY IN PROPORTION TO THE UNIT ENTITLEMENT OF THE STRATA LOT AS SHOWN ON FORM V</t>
  </si>
  <si>
    <t xml:space="preserve">006340628</t>
  </si>
  <si>
    <t xml:space="preserve">STRATA LOT 15 DISTRICT LOT 492 STRATA PLAN VR. 1052, TOGETHER WITH AN INTEREST IN THE COMMON PROPERTY IN PROPORTION TO THE UNIT ENTITLEMENT OF THE STRATA LOT AS SHOWN ON FORM 1.</t>
  </si>
  <si>
    <t xml:space="preserve">014360012</t>
  </si>
  <si>
    <t xml:space="preserve">LOT E DISTRICT LOT 1426 PLAN 22299</t>
  </si>
  <si>
    <t xml:space="preserve">005477166</t>
  </si>
  <si>
    <t xml:space="preserve">LOT 18 BLOCK A DISTRICT LOT 1545 PLAN 13739</t>
  </si>
  <si>
    <t xml:space="preserve">009296425</t>
  </si>
  <si>
    <t xml:space="preserve">LOT 5 BLOCK D DISTRICT LOT 3042 PLAN 10987</t>
  </si>
  <si>
    <t xml:space="preserve">008007306</t>
  </si>
  <si>
    <t xml:space="preserve">LOT 3 BLOCK C DISTRICT LOT 1426 PLAN 13841</t>
  </si>
  <si>
    <t xml:space="preserve">027294536</t>
  </si>
  <si>
    <t xml:space="preserve">STRATA LOT 7 DISTRICT LOT 1545 GROUP 1 NEW WESTMINSTER DISTRICT STRATA PLAN BCS2587 TOGETHER WITH AN INTEREST IN THE COMMON PROPERTY IN PROPORTION TO THE UNIT ENTITLEMENT OF THE STRATA LOT AS SHOWN ON FORM V</t>
  </si>
  <si>
    <t xml:space="preserve">009171291</t>
  </si>
  <si>
    <t xml:space="preserve">LOT 46 BLOCK A DISTRICT LOT 3042 PLAN 11055</t>
  </si>
  <si>
    <t xml:space="preserve">006923534</t>
  </si>
  <si>
    <t xml:space="preserve">LOT 159 BLOCKS B, E AND F DISTRICT LOT 492 PLAN 20027</t>
  </si>
  <si>
    <t xml:space="preserve">008780838</t>
  </si>
  <si>
    <t xml:space="preserve">LOT 17 BLOCK D DISTRICT LOT 3042 PLAN 12865</t>
  </si>
  <si>
    <t xml:space="preserve">009171258</t>
  </si>
  <si>
    <t xml:space="preserve">LOT 45 BLOCK A DISTRICT LOT 3042 PLAN 11055</t>
  </si>
  <si>
    <t xml:space="preserve">008007934</t>
  </si>
  <si>
    <t xml:space="preserve">LOT 22 BLOCK C DISTRICT LOT 1426 PLAN 13841</t>
  </si>
  <si>
    <t xml:space="preserve">008039402</t>
  </si>
  <si>
    <t xml:space="preserve">LOT 95 BLOCKS B, E AND F DISTRICT LOT 492 PLAN 13685</t>
  </si>
  <si>
    <t xml:space="preserve">006340741</t>
  </si>
  <si>
    <t xml:space="preserve">STRATA LOT 21 DISTRICT LOT 492 STRATA PLAN VR. 1052, TOGETHER WITH AN INTEREST IN THE COMMON PROPERTY IN PROPORTION TO THE UNIT ENTITLEMENT OF THE STRATA LOT AS SHOWN ON FORM 1.</t>
  </si>
  <si>
    <t xml:space="preserve">027294242</t>
  </si>
  <si>
    <t xml:space="preserve">STRATA LOT 2 DISTRICT LOT 1545 GROUP 1 NEW WESTMINSTER DISTRICT STRATA PLAN BCS2586 TOGETHER WITH AN INTEREST IN THE COMMON PROPERTY IN PROPORTION TO THE UNIT ENTITLEMENT OF THE STRATA LOT AS SHOWN ON FORM V</t>
  </si>
  <si>
    <t xml:space="preserve">027294480</t>
  </si>
  <si>
    <t xml:space="preserve">STRATA LOT 2 DISTRICT LOT 1545 GROUP 1 NEW WESTMINSTER DISTRICT STRATA PLAN BCS2587 TOGETHER WITH AN INTEREST IN THE COMMON PROPERTY IN PROPORTION TO THE UNIT ENTITLEMENT OF THE STRATA LOT AS SHOWN ON FORM V</t>
  </si>
  <si>
    <t xml:space="preserve">009171185</t>
  </si>
  <si>
    <t xml:space="preserve">LOT 40 BLOCK A DISTRICT LOT 3042 PLAN 11055</t>
  </si>
  <si>
    <t xml:space="preserve">008498091</t>
  </si>
  <si>
    <t xml:space="preserve">LOT 5 OF LOT 3 BLOCK A DISTRICT LOT 492 PLAN 13741</t>
  </si>
  <si>
    <t xml:space="preserve">008017905</t>
  </si>
  <si>
    <t xml:space="preserve">LOT D BLOCKS B, E AND F DISTRICT LOT 492 PLAN 13814</t>
  </si>
  <si>
    <t xml:space="preserve">007373694</t>
  </si>
  <si>
    <t xml:space="preserve">LOT 6 BLOCK A DISTRICT LOT 1545 PLAN 13739</t>
  </si>
  <si>
    <t xml:space="preserve">009296450</t>
  </si>
  <si>
    <t xml:space="preserve">LOT 7 BLOCK D DISTRICT LOT 3042 PLAN 10987</t>
  </si>
  <si>
    <t xml:space="preserve">003425169</t>
  </si>
  <si>
    <t xml:space="preserve">LOT 58 BLOCKS B, E AND F DISTRICT LOT 492 PLAN 13685</t>
  </si>
  <si>
    <t xml:space="preserve">009475516</t>
  </si>
  <si>
    <t xml:space="preserve">LOT 31 BLOCK A DISTRICT LOT 3042 PLAN 10353</t>
  </si>
  <si>
    <t xml:space="preserve">027294528</t>
  </si>
  <si>
    <t xml:space="preserve">STRATA LOT 6 DISTRICT LOT 1545 GROUP 1 NEW WESTMINSTER DISTRICT STRATA PLAN BCS2587 TOGETHER WITH AN INTEREST IN THE COMMON PROPERTY IN PROPORTION TO THE UNIT ENTITLEMENT OF THE STRATA LOT AS SHOWN ON FORM V</t>
  </si>
  <si>
    <t xml:space="preserve">027294544</t>
  </si>
  <si>
    <t xml:space="preserve">STRATA LOT 8 DISTRICT LOT 1545 GROUP 1 NEW WESTMINSTER DISTRICT STRATA PLAN BCS2587 TOGETHER WITH AN INTEREST IN THE COMMON PROPERTY IN PROPORTION TO THE UNIT ENTITLEMENT OF THE STRATA LOT AS SHOWN ON FORM V</t>
  </si>
  <si>
    <t xml:space="preserve">006340679</t>
  </si>
  <si>
    <t xml:space="preserve">STRATA LOT 18 DISTRICT LOT 492 STRATA PLAN VR. 1052, TOGETHER WITH AN INTEREST IN THE COMMON PROPERTY IN PROPORTION TO THE UNIT ENTITLEMENT OF THE STRATA LOT AS SHOWN ON FORM 1.</t>
  </si>
  <si>
    <t xml:space="preserve">008039259</t>
  </si>
  <si>
    <t xml:space="preserve">LOT 80 BLOCKS B, E AND F DISTRICT LOT 492 PLAN 13685</t>
  </si>
  <si>
    <t xml:space="preserve">009431209</t>
  </si>
  <si>
    <t xml:space="preserve">LOT 17 BLOCK B DISTRICT LOT 3042 PLAN 10390</t>
  </si>
  <si>
    <t xml:space="preserve">008872627</t>
  </si>
  <si>
    <t xml:space="preserve">LOT 13 BLOCK A DISTRICT LOT 3042 PLAN 10353</t>
  </si>
  <si>
    <t xml:space="preserve">011517247</t>
  </si>
  <si>
    <t xml:space="preserve">STRATA LOT 6 DISTRICT LOT 492 STRATA PLAN VR. 2166 TOGETHER WITH AN INTEREST IN THE COMMON PROPERTY IN PROPORTION TO THE UNIT ENTITLEMENT OF THE STRATA LOT AS SHOWN ON FORM 1.</t>
  </si>
  <si>
    <t xml:space="preserve">008292035</t>
  </si>
  <si>
    <t xml:space="preserve">LOT 52 BLOCK A DISTRICT LOT 3042 PLAN 12504</t>
  </si>
  <si>
    <t xml:space="preserve">017552753</t>
  </si>
  <si>
    <t xml:space="preserve">LOT K DISTRICT LOT 489 PLAN LMP2262</t>
  </si>
  <si>
    <t xml:space="preserve">007225393</t>
  </si>
  <si>
    <t xml:space="preserve">LOT 13 BLOCK B DISTRICT LOT 3042 PLAN 10390</t>
  </si>
  <si>
    <t xml:space="preserve">027294587</t>
  </si>
  <si>
    <t xml:space="preserve">STRATA LOT 12 DISTRICT LOT 1545 GROUP 1 NEW WESTMINSTER DISTRICT STRATA PLAN BCS2587 TOGETHER WITH AN INTEREST IN THE COMMON PROPERTY IN PROPORTION TO THE UNIT ENTITLEMENT OF THE STRATA LOT AS SHOWN ON FORM V</t>
  </si>
  <si>
    <t xml:space="preserve">007511060</t>
  </si>
  <si>
    <t xml:space="preserve">LOT B BLOCKS B, E AND F DISTRICT LOT 492 PLAN 16528</t>
  </si>
  <si>
    <t xml:space="preserve">014964309</t>
  </si>
  <si>
    <t xml:space="preserve">LOT 13 BLOCK A DISTRICT LOT 492 PLAN 22485</t>
  </si>
  <si>
    <t xml:space="preserve">006761992</t>
  </si>
  <si>
    <t xml:space="preserve">LOT 151 BLOCK B DISTRICT LOT 492 PLAN 20245</t>
  </si>
  <si>
    <t xml:space="preserve">007351178</t>
  </si>
  <si>
    <t xml:space="preserve">LOT 7 BLOCK F DISTRICT LOT 3042 PLAN 12258</t>
  </si>
  <si>
    <t xml:space="preserve">027294251</t>
  </si>
  <si>
    <t xml:space="preserve">STRATA LOT 3 DISTRICT LOT 1545 GROUP 1 NEW WESTMINSTER DISTRICT STRATA PLAN BCS2586 TOGETHER WITH AN INTEREST IN THE COMMON PROPERTY IN PROPORTION TO THE UNIT ENTITLEMENT OF THE STRATA LOT AS SHOWN ON FORM V</t>
  </si>
  <si>
    <t xml:space="preserve">008007420</t>
  </si>
  <si>
    <t xml:space="preserve">LOT 7 BLOCK C DISTRICT LOT 1426 PLAN 13841</t>
  </si>
  <si>
    <t xml:space="preserve">023908149</t>
  </si>
  <si>
    <t xml:space="preserve">LOT 2 DISTRICT LOT 489 GROUP 1 NEW WESTMINSTER DISTRICT PLAN LMP35130</t>
  </si>
  <si>
    <t xml:space="preserve">016763351</t>
  </si>
  <si>
    <t xml:space="preserve">STRATA LOT 6 DISTRICT LOT 3042 STRATA PLAN VR. 2784 TOGETHER WITH AN INTEREST IN THE COMMON PROPERTY IN PROPORTION TO THE UNIT ENTITLEMENT OF THE STRATA LOT AS SHOWN ON FORM 1.</t>
  </si>
  <si>
    <t xml:space="preserve">007000235</t>
  </si>
  <si>
    <t xml:space="preserve">LOT T BLOCKS B E AND F DISTRICT LOT 492 PLAN 19486</t>
  </si>
  <si>
    <t xml:space="preserve">016763297</t>
  </si>
  <si>
    <t xml:space="preserve">STRATA LOT 2 DISTRICT LOT 3042 STRATA PLAN VR. 2784 TOGETHER WITH AN INTEREST IN THE COMMON PROPERTY IN PROPORTION TO THE UNIT ENTITLEMENT OF THE STRATA LOT AS SHOWN ON FORM 1.</t>
  </si>
  <si>
    <t xml:space="preserve">007045344</t>
  </si>
  <si>
    <t xml:space="preserve">LOT 35 BLOCK B DISTRICT LOT 3042 PLAN 18998</t>
  </si>
  <si>
    <t xml:space="preserve">014360021</t>
  </si>
  <si>
    <t xml:space="preserve">LOT F DISTRICT LOT 1426 PLAN 22299</t>
  </si>
  <si>
    <t xml:space="preserve">008007969</t>
  </si>
  <si>
    <t xml:space="preserve">LOT 23 BLOCK C DISTRICT LOT 1426 PLAN 13841</t>
  </si>
  <si>
    <t xml:space="preserve">004601700</t>
  </si>
  <si>
    <t xml:space="preserve">LOT 9 BLOCK A DISTRICT LOT 3042 PLAN 10353</t>
  </si>
  <si>
    <t xml:space="preserve">027293149</t>
  </si>
  <si>
    <t xml:space="preserve">STRATA LOT 5 DISTRICT LOT 1545 GROUP 1 NEW WESTMINSTER DISTRICT STRATA PLAN BCS2585 TOGETHER WITH AN INTEREST IN THE COMMON PROPERTY IN PROPORTION TO THE UNIT ENTITLEMENT OF THE STRATA LOT AS SHOWN ON FORM V</t>
  </si>
  <si>
    <t xml:space="preserve">008039356</t>
  </si>
  <si>
    <t xml:space="preserve">LOT 92 BLOCKS B, E AND F DISTRICT LOT 492 PLAN 13685</t>
  </si>
  <si>
    <t xml:space="preserve">008501149</t>
  </si>
  <si>
    <t xml:space="preserve">LOT 16 BLOCK C DISTRICT LOT 3042 PLAN 13713</t>
  </si>
  <si>
    <t xml:space="preserve">027294226</t>
  </si>
  <si>
    <t xml:space="preserve">STRATA LOT 1 DISTRICT LOT 1545 GROUP 1 NEW WESTMINSTER DISTRICT STRATA PLAN BCS2586 TOGETHER WITH AN INTEREST IN THE COMMON PROPERTY IN PROPORTION TO THE UNIT ENTITLEMENT OF THE STRATA LOT AS SHOWN ON FORM V</t>
  </si>
  <si>
    <t xml:space="preserve">027293033</t>
  </si>
  <si>
    <t xml:space="preserve">LOT 5 DISTRICT LOT 1545 GROUP 1 NEW WESTMINSTER DISTRICT PLAN BCP33065</t>
  </si>
  <si>
    <t xml:space="preserve">008038872</t>
  </si>
  <si>
    <t xml:space="preserve">LOT 33 BLOCKS B, E AND F DISTRICT LOT 492 PLAN 13685</t>
  </si>
  <si>
    <t xml:space="preserve">009171401</t>
  </si>
  <si>
    <t xml:space="preserve">LOT A BLOCK A DISTRICT LOT 3042 PLAN 11055</t>
  </si>
  <si>
    <t xml:space="preserve">008509182</t>
  </si>
  <si>
    <t xml:space="preserve">LOT 7 BLOCK B DISTRICT LOT 1545 PLAN 13739</t>
  </si>
  <si>
    <t xml:space="preserve">007622520</t>
  </si>
  <si>
    <t xml:space="preserve">LOT 2 BLOCK A DISTRICT LOT 492 PLAN 15716</t>
  </si>
  <si>
    <t xml:space="preserve">008893462</t>
  </si>
  <si>
    <t xml:space="preserve">LOT 5 OF LOT 3 BLOCK A DISTRICT LOT 492 PLAN 12397</t>
  </si>
  <si>
    <t xml:space="preserve">008509328</t>
  </si>
  <si>
    <t xml:space="preserve">LOT 11 BLOCK B DISTRICT LOT 1545 PLAN 13739</t>
  </si>
  <si>
    <t xml:space="preserve">008498326</t>
  </si>
  <si>
    <t xml:space="preserve">LOT 13 BLOCK A DISTRICT LOT 1545 PLAN 13739</t>
  </si>
  <si>
    <t xml:space="preserve">023258756</t>
  </si>
  <si>
    <t xml:space="preserve">LOT 3 DISTRICT LOT 489 GROUP 1 NEW WESTMINSTER DISTRICT PLAN LMP25884</t>
  </si>
  <si>
    <t xml:space="preserve">008498245</t>
  </si>
  <si>
    <t xml:space="preserve">LOT 7 BLOCK A DISTRICT LOT 1545 PLAN 13739</t>
  </si>
  <si>
    <t xml:space="preserve">008007586</t>
  </si>
  <si>
    <t xml:space="preserve">LOT 12 BLOCK C DISTRICT LOT 1426 PLAN 13841</t>
  </si>
  <si>
    <t xml:space="preserve">008498342</t>
  </si>
  <si>
    <t xml:space="preserve">LOT 14 BLOCK A DISTRICT LOT 1545 PLAN 13739</t>
  </si>
  <si>
    <t xml:space="preserve">027294269</t>
  </si>
  <si>
    <t xml:space="preserve">STRATA LOT 4 DISTRICT LOT 1545 GROUP 1 NEW WESTMINSTER DISTRICT STRATA PLAN BCS2586 TOGETHER WITH AN INTEREST IN THE COMMON PROPERTY IN PROPORTION TO THE UNIT ENTITLEMENT OF THE STRATA LOT AS SHOWN ON FORM V</t>
  </si>
  <si>
    <t xml:space="preserve">005551170</t>
  </si>
  <si>
    <t xml:space="preserve">LOT 10 BLOCK A DISTRICT LOT 1545 PLAN 13739</t>
  </si>
  <si>
    <t xml:space="preserve">008008248</t>
  </si>
  <si>
    <t xml:space="preserve">LOT A BLOCK C DISTRICT LOT 1426 PLAN 13841</t>
  </si>
  <si>
    <t xml:space="preserve">009015841</t>
  </si>
  <si>
    <t xml:space="preserve">LOT 6 BLOCK E DISTRICT LOT 3042 PLAN 11909</t>
  </si>
  <si>
    <t xml:space="preserve">008008256</t>
  </si>
  <si>
    <t xml:space="preserve">LOT B BLOCK C DISTRICT LOT 1426 PLAN 13841</t>
  </si>
  <si>
    <t xml:space="preserve">003914160</t>
  </si>
  <si>
    <t xml:space="preserve">LOT 99 BLOCKS B, E AND F DISTIRCT LOT 492 PLAN 13685</t>
  </si>
  <si>
    <t xml:space="preserve">008498261</t>
  </si>
  <si>
    <t xml:space="preserve">LOT 8 BLOCK A DISTRICT LOT 1545 PLAN 13739</t>
  </si>
  <si>
    <t xml:space="preserve">025880349</t>
  </si>
  <si>
    <t xml:space="preserve">LOT A BLOCK A DISTRICT LOT 492 GROUP 1 NEW WESTMINSTER DISTRICT PLAN BCP9907</t>
  </si>
  <si>
    <t xml:space="preserve">008498229</t>
  </si>
  <si>
    <t xml:space="preserve">LOT 4 BLOCK A DISTRICT LOT 1545 PLAN 13739</t>
  </si>
  <si>
    <t xml:space="preserve">009431195</t>
  </si>
  <si>
    <t xml:space="preserve">LOT 16 BLOCK B DISTRICT LOT 3042 PLAN 10390</t>
  </si>
  <si>
    <t xml:space="preserve">008039178</t>
  </si>
  <si>
    <t xml:space="preserve">LOT 74 BLOCKS B, E AND F DISTRICT LOT 492 PLAN 13685</t>
  </si>
  <si>
    <t xml:space="preserve">008039071</t>
  </si>
  <si>
    <t xml:space="preserve">LOT 59 BLOCKS B, E AND F DISTRICT LOT 492 PLAN 13685</t>
  </si>
  <si>
    <t xml:space="preserve">009171321</t>
  </si>
  <si>
    <t xml:space="preserve">LOT 47 BLOCK A DISTRICT LOT 3042 PLAN 11055</t>
  </si>
  <si>
    <t xml:space="preserve">002685434</t>
  </si>
  <si>
    <t xml:space="preserve">LOT 164 BLOCKS B, E AND F DISTRICT LOT 492 PLAN 20345</t>
  </si>
  <si>
    <t xml:space="preserve">006564445</t>
  </si>
  <si>
    <t xml:space="preserve">LOT 150 BLOCK B DISTRICT LOT 492 PLAN 20245</t>
  </si>
  <si>
    <t xml:space="preserve">008498148</t>
  </si>
  <si>
    <t xml:space="preserve">LOT 11 OF LOT 3 BLOCK A DISTRICT LOT 492 PLAN 13741</t>
  </si>
  <si>
    <t xml:space="preserve">008922560</t>
  </si>
  <si>
    <t xml:space="preserve">LOT 6 BLOCK F DISTRICT LOT 3042 PLAN 12258</t>
  </si>
  <si>
    <t xml:space="preserve">002495414</t>
  </si>
  <si>
    <t xml:space="preserve">LOT 31 BLOCK C DISTRICT LOT 1426 PLAN 13841</t>
  </si>
  <si>
    <t xml:space="preserve">008039135</t>
  </si>
  <si>
    <t xml:space="preserve">LOT 65 BLOCKS B, E AND F DISTRICT LOT 492 PLAN 13685</t>
  </si>
  <si>
    <t xml:space="preserve">008498083</t>
  </si>
  <si>
    <t xml:space="preserve">LOT 4 OF LOT 3 BLOCK A DISTRICT LOT 492 PLAN 13741</t>
  </si>
  <si>
    <t xml:space="preserve">008780749</t>
  </si>
  <si>
    <t xml:space="preserve">LOT 13 BLOCK D DISTRICT LOT 3042 PLAN 12865</t>
  </si>
  <si>
    <t xml:space="preserve">008017786</t>
  </si>
  <si>
    <t xml:space="preserve">LOT H BLOCKS B, E AND F DISTRICT LOT 492 PLAN 13815</t>
  </si>
  <si>
    <t xml:space="preserve">007158424</t>
  </si>
  <si>
    <t xml:space="preserve">LOT 144 BLOCKS B, E AND F DISTRICT LOT 492 PLAN 18537</t>
  </si>
  <si>
    <t xml:space="preserve">008007489</t>
  </si>
  <si>
    <t xml:space="preserve">LOT 9 BLOCK C DISTRICT LOT 1426 PLAN 13841</t>
  </si>
  <si>
    <t xml:space="preserve">008780811</t>
  </si>
  <si>
    <t xml:space="preserve">LOT 16 BLOCK D DISTRICT LOT 3042 PLAN 12865</t>
  </si>
  <si>
    <t xml:space="preserve">027294471</t>
  </si>
  <si>
    <t xml:space="preserve">STRATA LOT 1 DISTRICT LOT 1545 GROUP 1 NEW WESTMINSTER DISTRICT STRATA PLAN BCS2587 TOGETHER WITH AN INTEREST IN THE COMMON PROPERTY IN PROPORTION TO THE UNIT ENTITLEMENT OF THE STRATA LOT AS SHOWN ON FORM V</t>
  </si>
  <si>
    <t xml:space="preserve">009389555</t>
  </si>
  <si>
    <t xml:space="preserve">LOT 3 DISTRICT LOT 1545 PLAN 10732</t>
  </si>
  <si>
    <t xml:space="preserve">026907208</t>
  </si>
  <si>
    <t xml:space="preserve">LOT B DISTRICT LOT 492 GROUP 1 NEW WESTMINSTER DISTRICT PLAN BCP27466</t>
  </si>
  <si>
    <t xml:space="preserve">008509158</t>
  </si>
  <si>
    <t xml:space="preserve">LOT 6 BLOCK B DISTRICT LOT 1545 PLAN 13739</t>
  </si>
  <si>
    <t xml:space="preserve">008498121</t>
  </si>
  <si>
    <t xml:space="preserve">LOT 9 OF LOT 3 BLOCK A DISTRICT LOT 492 PLAN 13741</t>
  </si>
  <si>
    <t xml:space="preserve">008039381</t>
  </si>
  <si>
    <t xml:space="preserve">LOT 94 BLOCKS B, E AND F DISTRICT LOT 492 PLAN 13685</t>
  </si>
  <si>
    <t xml:space="preserve">016763335</t>
  </si>
  <si>
    <t xml:space="preserve">STRATA LOT 4 DISTRICT LOT 3042 STRATA PLAN VR. 2784 TOGETHER WITH AN INTEREST IN THE COMMON PROPERTY IN PROPORTION TO THE UNIT ENTITLEMENT OF THE STRATA LOT AS SHOWN ON FORM 1</t>
  </si>
  <si>
    <t xml:space="preserve">008039119</t>
  </si>
  <si>
    <t xml:space="preserve">LOT 64 BLOCKS B, E AND F DISTRICT LOT 492 PLAN 13685</t>
  </si>
  <si>
    <t xml:space="preserve">004231546</t>
  </si>
  <si>
    <t xml:space="preserve">LOT 3 BLOCK F DISTRICT LOT 3042 PLAN 12258</t>
  </si>
  <si>
    <t xml:space="preserve">006992765</t>
  </si>
  <si>
    <t xml:space="preserve">LOT U BLOCKS B, E AND F DISTRICT LOT 492 PLAN 19592</t>
  </si>
  <si>
    <t xml:space="preserve">009171347</t>
  </si>
  <si>
    <t xml:space="preserve">LOT 48 BLOCK A DISTRICT LOT 3042 PLAN 11055</t>
  </si>
  <si>
    <t xml:space="preserve">008497125</t>
  </si>
  <si>
    <t xml:space="preserve">LOT 32 BLOCK A DISTRICT LOT 3042 PLAN 10723</t>
  </si>
  <si>
    <t xml:space="preserve">018822819</t>
  </si>
  <si>
    <t xml:space="preserve">LOT 8 DISTRICT LOT 489 PLAN LMP16629</t>
  </si>
  <si>
    <t xml:space="preserve">009171100</t>
  </si>
  <si>
    <t xml:space="preserve">LOT 35 BLOCK A DISTRICT LOT 3042 PLAN 11055</t>
  </si>
  <si>
    <t xml:space="preserve">005405521</t>
  </si>
  <si>
    <t xml:space="preserve">LOT 152 BLOCK B DISTRICT LOT 492 PLAN 20245</t>
  </si>
  <si>
    <t xml:space="preserve">007158408</t>
  </si>
  <si>
    <t xml:space="preserve">LOT 143 BLOCKS B, E AND F DISTRICT LOT 492 PLAN 18537</t>
  </si>
  <si>
    <t xml:space="preserve">008780773</t>
  </si>
  <si>
    <t xml:space="preserve">LOT 14 BLOCK D DISTRICT LOT 3042 PLAN 12865</t>
  </si>
  <si>
    <t xml:space="preserve">009475257</t>
  </si>
  <si>
    <t xml:space="preserve">LOT 6 BLOCK A DISTRICT LOT 3042 PLAN 10353</t>
  </si>
  <si>
    <t xml:space="preserve">027293131</t>
  </si>
  <si>
    <t xml:space="preserve">STRATA LOT 4 DISTRICT LOT 1545 GROUP 1 NEW WESTMINSTER DISTRICT STRATA PLAN BCS2585 TOGETHER WITH AN INTEREST IN THE COMMON PROPERTY IN PROPORTION TO THE UNIT ENTITLEMENT OF THE STRATA LOT AS SHOWN ON FORM V</t>
  </si>
  <si>
    <t xml:space="preserve">008038805</t>
  </si>
  <si>
    <t xml:space="preserve">LOT 29 BLOCKS B, E AND F DISTRICT LOT 492 PLAN 13685</t>
  </si>
  <si>
    <t xml:space="preserve">008039216</t>
  </si>
  <si>
    <t xml:space="preserve">LOT 76 BLOCKS B, E AND F DISTRICT LOT 492 PLAN 13685</t>
  </si>
  <si>
    <t xml:space="preserve">008498105</t>
  </si>
  <si>
    <t xml:space="preserve">LOT 6 OF LOT 3 BLOCK A DISTRICT LOT 492 PLAN 13741</t>
  </si>
  <si>
    <t xml:space="preserve">016763289</t>
  </si>
  <si>
    <t xml:space="preserve">STRATA LOT 1 DISTRICT LOT 3042 STRATA PLAN VR. 2784 TOGETHER WITH AN INTEREST IN THE COMMON PROPERTY IN PROPORTION TO THE UNIT ENTITLEMENT OF THE STRATA LOT AS SHOWN ON FORM 1.</t>
  </si>
  <si>
    <t xml:space="preserve">007759053</t>
  </si>
  <si>
    <t xml:space="preserve">LOT 1 BLOCK A DISTRICT LOT 492 PLAN 14562</t>
  </si>
  <si>
    <t xml:space="preserve">009171169</t>
  </si>
  <si>
    <t xml:space="preserve">LOT 38 BLOCK A DISTRICT LOT 3042 PLAN 11055</t>
  </si>
  <si>
    <t xml:space="preserve">027294561</t>
  </si>
  <si>
    <t xml:space="preserve">STRATA LOT 10 DISTRICT LOT 1545 GROUP 1 NEW WESTMINSTER DISTRICT STRATA PLAN BCS2587 TOGETHER WITH AN INTEREST IN THE COMMON PROPERTY IN PROPORTION TO THE UNIT ENTITLEMENT OF THE STRATA LOT AS SHOWN ON FORM V</t>
  </si>
  <si>
    <t xml:space="preserve">007905599</t>
  </si>
  <si>
    <t xml:space="preserve">LOT 33 BLOCK A DISTRICT LOT 3042 PLAN 11055</t>
  </si>
  <si>
    <t xml:space="preserve">027294307</t>
  </si>
  <si>
    <t xml:space="preserve">STRATA LOT 8 DISTRICT LOT 1545 GROUP 1 NEW WESTMINSTER DISTRICT STRATA PLAN BCS2586 TOGETHER WITH AN INTEREST IN THE COMMON PROPERTY IN PROPORTION TO THE UNIT ENTITLEMENT OF THE STRATA LOT AS SHOWN ON FORM V</t>
  </si>
  <si>
    <t xml:space="preserve">008040320</t>
  </si>
  <si>
    <t xml:space="preserve">LOT 108 BLOCKS B, E AND F DISTRICT LOT 492 PLAN 13685</t>
  </si>
  <si>
    <t xml:space="preserve">027294340</t>
  </si>
  <si>
    <t xml:space="preserve">STRATA LOT 12 DISTRICT LOT 1545 GROUP 1 NEW WESTMINSTER DISTRICT STRATA PLAN BCS2586 TOGETHER WITH AN INTEREST IN THE COMMON PROPERTY IN PROPORTION TO THE UNIT ENTITLEMENT OF THE STRATA LOT AS SHOWN ON FORM V</t>
  </si>
  <si>
    <t xml:space="preserve">018101020</t>
  </si>
  <si>
    <t xml:space="preserve">LOT 3 BLOCK A DISTRICT LOT 492 PLAN LMP8798</t>
  </si>
  <si>
    <t xml:space="preserve">008501181</t>
  </si>
  <si>
    <t xml:space="preserve">LOT 33 BLOCK B DISTRICT LOT 3042 PLAN 13713</t>
  </si>
  <si>
    <t xml:space="preserve">008017875</t>
  </si>
  <si>
    <t xml:space="preserve">LOT J BLOCKS B, E AND F DISTRICT LOT 492 PLAN 13815</t>
  </si>
  <si>
    <t xml:space="preserve">009171231</t>
  </si>
  <si>
    <t xml:space="preserve">LOT 44 BLOCK A DISTRICT LOT 3042 PLAN 11055</t>
  </si>
  <si>
    <t xml:space="preserve">004817532</t>
  </si>
  <si>
    <t xml:space="preserve">LOT 7 BLOCK E DISTRICT LOT 3042 PLAN 11909</t>
  </si>
  <si>
    <t xml:space="preserve">009171096</t>
  </si>
  <si>
    <t xml:space="preserve">LOT 34 BLOCK A DISTRICT LOT 3042 PLAN 11055</t>
  </si>
  <si>
    <t xml:space="preserve">009171134</t>
  </si>
  <si>
    <t xml:space="preserve">LOT 36 BLOCK A DISTRICT LOT 3042 PLAN 11055</t>
  </si>
  <si>
    <t xml:space="preserve">008893454</t>
  </si>
  <si>
    <t xml:space="preserve">LOT 3 OF LOT 3 BLOCK A DISTRICT LOT 492 PLAN 12397</t>
  </si>
  <si>
    <t xml:space="preserve">007944098</t>
  </si>
  <si>
    <t xml:space="preserve">LOT 19 BLOCKS B, E AND F DISTRICT LOT 492 PLAN 13685</t>
  </si>
  <si>
    <t xml:space="preserve">008780803</t>
  </si>
  <si>
    <t xml:space="preserve">LOT 15 BLOCK D DISTRICT LOT 3042 PLAN 12865</t>
  </si>
  <si>
    <t xml:space="preserve">008501173</t>
  </si>
  <si>
    <t xml:space="preserve">LOT 32 BLOCK B DISTRICT LOT 3042 PLAN 13713</t>
  </si>
  <si>
    <t xml:space="preserve">008040290</t>
  </si>
  <si>
    <t xml:space="preserve">LOT 106 BLOCKS B, E AND F DISTRICT LOT 492 PLAN 13685</t>
  </si>
  <si>
    <t xml:space="preserve">009015809</t>
  </si>
  <si>
    <t xml:space="preserve">LOT 3 BLOCK E DISTRICT LOT 3042 PLAN 11909</t>
  </si>
  <si>
    <t xml:space="preserve">023456701</t>
  </si>
  <si>
    <t xml:space="preserve">LOT 1 BLOCK A DISTRICT LOT 1545 GROUP 1 NEW WESTMINSTER DISTRICT PLAN LMP28812</t>
  </si>
  <si>
    <t xml:space="preserve">009296387</t>
  </si>
  <si>
    <t xml:space="preserve">LOT 4 BLOCK D DISTRICT LOT 3042 PLAN 10987</t>
  </si>
  <si>
    <t xml:space="preserve">008509247</t>
  </si>
  <si>
    <t xml:space="preserve">LOT 9 BLOCK B DISTRICT LOT 1545 PLAN 13739</t>
  </si>
  <si>
    <t xml:space="preserve">006288073</t>
  </si>
  <si>
    <t xml:space="preserve">STRATA LOT 3 DISTRICT LOT 1426 STRATA PLAN VR. 1821 TOGETHER WITH AN INTEREST IN THE COMMON PROPERTY IN PROPORTION TO THE UNIT ENTITLEMENT OF THE STRATA LOT AS SHOWN ON FORM 1.</t>
  </si>
  <si>
    <t xml:space="preserve">008922497</t>
  </si>
  <si>
    <t xml:space="preserve">LOT 2 BLOCK F DISTRICT LOT 3042 PLAN 12258</t>
  </si>
  <si>
    <t xml:space="preserve">008040222</t>
  </si>
  <si>
    <t xml:space="preserve">LOT 102 BLOCKS B, E AND F DISTRICT LOT 492 PLAN 13685</t>
  </si>
  <si>
    <t xml:space="preserve">008893471</t>
  </si>
  <si>
    <t xml:space="preserve">LOT 6 OF LOT 3 BLOCK A DISTRICT LOT 492 PLAN 12397</t>
  </si>
  <si>
    <t xml:space="preserve">008038970</t>
  </si>
  <si>
    <t xml:space="preserve">LOT 55 BLOCKS B, E AND F DISTRICT LOT 492 PLAN 13685</t>
  </si>
  <si>
    <t xml:space="preserve">006340377</t>
  </si>
  <si>
    <t xml:space="preserve">STRATA LOT 4 DISTRICT LOT 492 STRATA PLAN VR. 1052, TOGETHER WITH AN INTEREST IN THE COMMON PROPERTY IN PROPORTION TO THE UNIT ENTITLEMENT OF THE STRATA LOT AS SHOWN ON FORM 1.</t>
  </si>
  <si>
    <t xml:space="preserve">014359979</t>
  </si>
  <si>
    <t xml:space="preserve">LOT C DISTRICT LOT 1426 PLAN 22299</t>
  </si>
  <si>
    <t xml:space="preserve">008038571</t>
  </si>
  <si>
    <t xml:space="preserve">LOT 4 BLOCKS B, E AND F DISTRICT LOT 492 PLAN 13685</t>
  </si>
  <si>
    <t xml:space="preserve">027294498</t>
  </si>
  <si>
    <t xml:space="preserve">STRATA LOT 3 DISTRICT LOT 1545 GROUP 1 NEW WESTMINSTER DISTRICT STRATA PLAN BCS2587 TOGETHER WITH AN INTEREST IN THE COMMON PROPERTY IN PROPORTION TO THE UNIT ENTITLEMENT OF THE STRATA LOT AS SHOWN ON FORM V</t>
  </si>
  <si>
    <t xml:space="preserve">008603448</t>
  </si>
  <si>
    <t xml:space="preserve">LOT 5 BLOCK 4 DISTRICT LOT 1347 PLAN 9853</t>
  </si>
  <si>
    <t xml:space="preserve">008893578</t>
  </si>
  <si>
    <t xml:space="preserve">LOT 9 OF LOT 3 BLOCK A DISTRICT LOT 492 PLAN 12397</t>
  </si>
  <si>
    <t xml:space="preserve">008607796</t>
  </si>
  <si>
    <t xml:space="preserve">LOT 4 OF LOT 3 BLOCK A DISTRICT LOT 492 PLAN 12397</t>
  </si>
  <si>
    <t xml:space="preserve">007350139</t>
  </si>
  <si>
    <t xml:space="preserve">LOT 8 BLOCK F DISTRICT LOT 3042 PLAN 12258</t>
  </si>
  <si>
    <t xml:space="preserve">016395743</t>
  </si>
  <si>
    <t xml:space="preserve">LOT G DISTRICT LOT 489 PLAN 22971</t>
  </si>
  <si>
    <t xml:space="preserve">007186584</t>
  </si>
  <si>
    <t xml:space="preserve">LOT 145 BLOCKS B, E AND F DISTRICT LOT 492 PLAN 18433</t>
  </si>
  <si>
    <t xml:space="preserve">004628047</t>
  </si>
  <si>
    <t xml:space="preserve">LOT 165 BLOCK B DISTRICT LOT 492 PLAN 20921</t>
  </si>
  <si>
    <t xml:space="preserve">023456710</t>
  </si>
  <si>
    <t xml:space="preserve">LOT 2 BLOCK A DISTRICT LOT 1545 GROUP 1 NEW WESTMINSTER DISTRICT PLAN LMP28812</t>
  </si>
  <si>
    <t xml:space="preserve">008039305</t>
  </si>
  <si>
    <t xml:space="preserve">LOT 83 BLOCKS B, E AND F DISTRICT LOT 492 PLAN 13685</t>
  </si>
  <si>
    <t xml:space="preserve">008509298</t>
  </si>
  <si>
    <t xml:space="preserve">LOT 10 BLOCK B DISTRICT LOT 1545 PLAN 13739</t>
  </si>
  <si>
    <t xml:space="preserve">009475346</t>
  </si>
  <si>
    <t xml:space="preserve">LOT 14 BLOCK A DISTRICT LOT 3042 PLAN 10353</t>
  </si>
  <si>
    <t xml:space="preserve">009475311</t>
  </si>
  <si>
    <t xml:space="preserve">LOT 11 BLOCK A DISTRICT LOT 3042 PLAN 10353</t>
  </si>
  <si>
    <t xml:space="preserve">014964325</t>
  </si>
  <si>
    <t xml:space="preserve">LOT 14 BLOCK A DISTRICT LOT 492 PLAN 22485</t>
  </si>
  <si>
    <t xml:space="preserve">008434514</t>
  </si>
  <si>
    <t xml:space="preserve">LOT 16 BLOCK A DISTRICT LOT 3042 PLAN 10353</t>
  </si>
  <si>
    <t xml:space="preserve">008498377</t>
  </si>
  <si>
    <t xml:space="preserve">LOT 19 BLOCK A DISTRICT LOT 1545 PLAN 13739</t>
  </si>
  <si>
    <t xml:space="preserve">027293203</t>
  </si>
  <si>
    <t xml:space="preserve">STRATA LOT 11 DISTRICT LOT 1545 GROUP 1 NEW WESTMINSTER DISTRICT STRATA PLAN BCS2585 TOGETHER WITH AN INTEREST IN THE COMMON PROPERTY IN PROPORTION TO THE UNIT ENTITLEMENT OF THE STRATA LOT AS SHOWN ON FORM V</t>
  </si>
  <si>
    <t xml:space="preserve">008039348</t>
  </si>
  <si>
    <t xml:space="preserve">LOT 87 BLOCKS B, E AND F DISTRICT LOT 492 PLAN 13685</t>
  </si>
  <si>
    <t xml:space="preserve">008038619</t>
  </si>
  <si>
    <t xml:space="preserve">LOT 18 BLOCKS B, E AND F DISTRICT LOT 492 PLAN 13685</t>
  </si>
  <si>
    <t xml:space="preserve">008039313</t>
  </si>
  <si>
    <t xml:space="preserve">LOT 84 BLOCKS B, E AND F DISTRICT LOT 492 PLAN 13685</t>
  </si>
  <si>
    <t xml:space="preserve">027293220</t>
  </si>
  <si>
    <t xml:space="preserve">STRATA LOT 13 DISTRICT LOT 1545 GROUP 1 NEW WESTMINSTER DISTRICT STRATA PLAN BCS2585 TOGETHER WITH AN INTEREST IN THE COMMON PROPERTY IN PROPORTION TO THE UNIT ENTITLEMENT OF THE STRATA LOT AS SHOWN ON FORM V</t>
  </si>
  <si>
    <t xml:space="preserve">006340482</t>
  </si>
  <si>
    <t xml:space="preserve">STRATA LOT 10 DISTRICT LOT 492 STRATA PLAN VR. 1052, TOGETHER WITH AN INTEREST IN THE COMMON PROPERTY IN PROPORTION TO THE UNIT ENTITLEMENT OF THE STRATA LOT AS SHOWN ON FORM 1.</t>
  </si>
  <si>
    <t xml:space="preserve">003123316</t>
  </si>
  <si>
    <t xml:space="preserve">LOT 17 BLOCK C DISTRICT LOT 3042 PLAN 13713</t>
  </si>
  <si>
    <t xml:space="preserve">006172059</t>
  </si>
  <si>
    <t xml:space="preserve">LOT 149 BLOCKS B, E AND F DISTRICT LOT 492 PLAN 18869</t>
  </si>
  <si>
    <t xml:space="preserve">002964708</t>
  </si>
  <si>
    <t xml:space="preserve">LOT 78 BLOCKS B, E AND F DISTRICT LOT 492 PLAN 13685</t>
  </si>
  <si>
    <t xml:space="preserve">008235643</t>
  </si>
  <si>
    <t xml:space="preserve">LOT 3 BLOCK A DISTRICT LOT 492 PLAN 12758</t>
  </si>
  <si>
    <t xml:space="preserve">008038856</t>
  </si>
  <si>
    <t xml:space="preserve">LOT 32 BLOCKS B, E AND F DISTRICT LOT 492 PLAN 13685</t>
  </si>
  <si>
    <t xml:space="preserve">007232861</t>
  </si>
  <si>
    <t xml:space="preserve">LOT 138 BLOCK B DISTRICT LOT 492 PLAN 18013</t>
  </si>
  <si>
    <t xml:space="preserve">009475303</t>
  </si>
  <si>
    <t xml:space="preserve">LOT 10 BLOCK A DISTRICT LOT 3042 PLAN 10353</t>
  </si>
  <si>
    <t xml:space="preserve">007881479</t>
  </si>
  <si>
    <t xml:space="preserve">LOT 3 OF LOT 3 BLOCK A DISTRICT LOT 492 PLAN 13741</t>
  </si>
  <si>
    <t xml:space="preserve">006340512</t>
  </si>
  <si>
    <t xml:space="preserve">STRATA LOT 11 DISTRICT LOT 492 STRATA PLAN VR. 1052, TOGETHER WITH AN INTEREST IN THE COMMON PROPERTY IN PROPORTION TO THE UNIT ENTITLEMENT OF THE STRATA LOT AS SHOWN ON FORM 1.</t>
  </si>
  <si>
    <t xml:space="preserve">008234213</t>
  </si>
  <si>
    <t xml:space="preserve">LOT 2 BLOCK E DISTRICT LOT 3042 PLAN 11909</t>
  </si>
  <si>
    <t xml:space="preserve">004778715</t>
  </si>
  <si>
    <t xml:space="preserve">LOT 4 BLOCK E DISTRICT LOT 3042 PLAN 11909</t>
  </si>
  <si>
    <t xml:space="preserve">009431187</t>
  </si>
  <si>
    <t xml:space="preserve">LOT 15 BLOCK B DISTRICT LOT 3042 PLAN 10390</t>
  </si>
  <si>
    <t xml:space="preserve">009475354</t>
  </si>
  <si>
    <t xml:space="preserve">LOT 17 BLOCK A DISTRICT LOT 3042 PLAN 10353</t>
  </si>
  <si>
    <t xml:space="preserve">008038996</t>
  </si>
  <si>
    <t xml:space="preserve">LOT 56 BLOCKS B, E AND F DISTRICT LOT 492 PLAN 13685</t>
  </si>
  <si>
    <t xml:space="preserve">029566487</t>
  </si>
  <si>
    <t xml:space="preserve">LOT A DISTRICT LOT 6014 GROUP 1 NEW WESTMINSTER DISTRICT PLAN EPP48371</t>
  </si>
  <si>
    <t xml:space="preserve">029566495</t>
  </si>
  <si>
    <t xml:space="preserve">LOT B DISTRICT LOT 6014 GROUP 1 NEW WESTMINSTER DISTRICT PLAN EPP48371</t>
  </si>
  <si>
    <t xml:space="preserve">009083561</t>
  </si>
  <si>
    <t xml:space="preserve">LOT 1 BLOCK 8 DISTRICT LOT 490 PLAN 11393</t>
  </si>
  <si>
    <t xml:space="preserve">007894911</t>
  </si>
  <si>
    <t xml:space="preserve">LOT 14 DISTRICT LOT 2619 PLAN 14205</t>
  </si>
  <si>
    <t xml:space="preserve">009083090</t>
  </si>
  <si>
    <t xml:space="preserve">LOT 10 BLOCK 7 DISTRICT LOT 490 PLAN 11393</t>
  </si>
  <si>
    <t xml:space="preserve">009083839</t>
  </si>
  <si>
    <t xml:space="preserve">LOT 17 BLOCK 8 DISTRICT LOT 490 PLAN 11393</t>
  </si>
  <si>
    <t xml:space="preserve">011797967</t>
  </si>
  <si>
    <t xml:space="preserve">LOT 32 DISTRICT LOT 1911 PLAN 4131</t>
  </si>
  <si>
    <t xml:space="preserve">009076603</t>
  </si>
  <si>
    <t xml:space="preserve">LOT 8 BLOCK 5 DISTRICT LOT 490 PLAN 11393</t>
  </si>
  <si>
    <t xml:space="preserve">007895062</t>
  </si>
  <si>
    <t xml:space="preserve">LOT 21 DISTRICT LOT 2619 PLAN 14205</t>
  </si>
  <si>
    <t xml:space="preserve">007894821</t>
  </si>
  <si>
    <t xml:space="preserve">LOT 4 DISTRICT LOT 2619 PLAN 14205</t>
  </si>
  <si>
    <t xml:space="preserve">026007096</t>
  </si>
  <si>
    <t xml:space="preserve">LOT B DISTRICT LOT 489 GROUP 1 NEW WESTMINSTER DISTRICT PLAN BCP12404</t>
  </si>
  <si>
    <t xml:space="preserve">007786298</t>
  </si>
  <si>
    <t xml:space="preserve">LOT 3 DISTRICT LOTS 2447 AND 2619 PLAN 14503</t>
  </si>
  <si>
    <t xml:space="preserve">009083359</t>
  </si>
  <si>
    <t xml:space="preserve">LOT 20 BLOCK 7 DISTRICT LOT 490 PLAN 11393</t>
  </si>
  <si>
    <t xml:space="preserve">007894864</t>
  </si>
  <si>
    <t xml:space="preserve">LOT 10 DISTRICT LOT 2619 PLAN 14205</t>
  </si>
  <si>
    <t xml:space="preserve">006226191</t>
  </si>
  <si>
    <t xml:space="preserve">LOT 7 BLOCK 7 DISTRICT LOT 490 PLAN 11393</t>
  </si>
  <si>
    <t xml:space="preserve">005518130</t>
  </si>
  <si>
    <t xml:space="preserve">STRATA LOT 6 DISTRICT LOT 2619 STRATA PLAN VR. 644 TOGETHER WITH AN INTEREST IN THE COMMON PROPERTY IN PROPORTION TO THE UNIT ENTITLEMENT OF THE STRATA LOT AS SHOWN ON FORM 1.</t>
  </si>
  <si>
    <t xml:space="preserve">009083227</t>
  </si>
  <si>
    <t xml:space="preserve">LOT 15 BLOCK 7 DISTRICT LOT 490 PLAN 11393</t>
  </si>
  <si>
    <t xml:space="preserve">009083634</t>
  </si>
  <si>
    <t xml:space="preserve">LOT 5 BLOCK 8 DISTRICT LOT 490 PLAN 11393</t>
  </si>
  <si>
    <t xml:space="preserve">007015127</t>
  </si>
  <si>
    <t xml:space="preserve">LOT 1 BLOCK D DISTRICT LOT 2447 PLAN 19408</t>
  </si>
  <si>
    <t xml:space="preserve">009083138</t>
  </si>
  <si>
    <t xml:space="preserve">LOT 12 BLOCK 7 DISTRICT LOT 490 PLAN 11393</t>
  </si>
  <si>
    <t xml:space="preserve">009400265</t>
  </si>
  <si>
    <t xml:space="preserve">LOT 1 DISTRICT LOT 1628 PLAN 10433</t>
  </si>
  <si>
    <t xml:space="preserve">009083111</t>
  </si>
  <si>
    <t xml:space="preserve">LOT 11 BLOCK 7 DISTRICT LOT 490 PLAN 11393</t>
  </si>
  <si>
    <t xml:space="preserve">018822771</t>
  </si>
  <si>
    <t xml:space="preserve">LOT 4 DISTRICT LOT 489 PLAN LMP16629</t>
  </si>
  <si>
    <t xml:space="preserve">007786263</t>
  </si>
  <si>
    <t xml:space="preserve">LOT 2 DISTRICT LOTS 2447 AND 2619 PLAN 14503</t>
  </si>
  <si>
    <t xml:space="preserve">005518083</t>
  </si>
  <si>
    <t xml:space="preserve">STRATA LOT 4 DISTRICT LOT 2619 STRATA PLAN VR. 644 TOGETHER WITH AN INTEREST IN THE COMMON PROPERTY IN PROPORTION TO THE UNIT ENTITLEMENT OF THE STRATA LOT AS SHOWN ON FORM 1.</t>
  </si>
  <si>
    <t xml:space="preserve">009083375</t>
  </si>
  <si>
    <t xml:space="preserve">LOT 21 BLOCK 7 DISTRICT LOT 490 PLAN 11393</t>
  </si>
  <si>
    <t xml:space="preserve">009082981</t>
  </si>
  <si>
    <t xml:space="preserve">LOT 4 BLOCK 7 DISTRICT LOT 490 PLAN 11393</t>
  </si>
  <si>
    <t xml:space="preserve">009918680</t>
  </si>
  <si>
    <t xml:space="preserve">LOT 45 DISTRICT LOT 1911 PLAN 4131</t>
  </si>
  <si>
    <t xml:space="preserve">018822762</t>
  </si>
  <si>
    <t xml:space="preserve">LOT 3 DISTRICT LOT 489 PLAN LMP16629</t>
  </si>
  <si>
    <t xml:space="preserve">026741431</t>
  </si>
  <si>
    <t xml:space="preserve">LOT A DISTRICT LOT 1628 GROUP 1 NEW WESTMINSTER DISTRICT PLAN BCP24826</t>
  </si>
  <si>
    <t xml:space="preserve">007786239</t>
  </si>
  <si>
    <t xml:space="preserve">LOT 1 DISTRICT LOTS 2447 AND 2619 PLAN 14503</t>
  </si>
  <si>
    <t xml:space="preserve">011798068</t>
  </si>
  <si>
    <t xml:space="preserve">LOT 35 DISTRICT LOT 1911 PLAN 4131</t>
  </si>
  <si>
    <t xml:space="preserve">018822789</t>
  </si>
  <si>
    <t xml:space="preserve">LOT 5 DISTRICT LOT 489 PLAN LMP16629</t>
  </si>
  <si>
    <t xml:space="preserve">009083588</t>
  </si>
  <si>
    <t xml:space="preserve">LOT 2 BLOCK 8 DISTRICT LOT 490 PLAN 11393</t>
  </si>
  <si>
    <t xml:space="preserve">009083383</t>
  </si>
  <si>
    <t xml:space="preserve">LOT 22 BLOCK 7 DISTRICT LOT 490 PLAN 11393</t>
  </si>
  <si>
    <t xml:space="preserve">009083812</t>
  </si>
  <si>
    <t xml:space="preserve">LOT 16 BLOCK 8 DISTRICT LOT 490 PLAN 11393</t>
  </si>
  <si>
    <t xml:space="preserve">007894791</t>
  </si>
  <si>
    <t xml:space="preserve">LOT 1 DISTRICT LOT 2619 PLAN 14205</t>
  </si>
  <si>
    <t xml:space="preserve">008718172</t>
  </si>
  <si>
    <t xml:space="preserve">LOT 3 BLOCK B DISTRICT LOT 1628 PLAN 13145</t>
  </si>
  <si>
    <t xml:space="preserve">011798050</t>
  </si>
  <si>
    <t xml:space="preserve">LOT 34 DISTRICT LOT 1911 PLAN 4131</t>
  </si>
  <si>
    <t xml:space="preserve">007894813</t>
  </si>
  <si>
    <t xml:space="preserve">LOT 3 DISTRICT LOT 2619 PLAN 14205</t>
  </si>
  <si>
    <t xml:space="preserve">007700075</t>
  </si>
  <si>
    <t xml:space="preserve">LOT 31 DISTRICT LOT 1911 PLAN 4131</t>
  </si>
  <si>
    <t xml:space="preserve">010651942</t>
  </si>
  <si>
    <t xml:space="preserve">LOT 5 DISTRICT LOT 1910 PLAN 7352</t>
  </si>
  <si>
    <t xml:space="preserve">003325270</t>
  </si>
  <si>
    <t xml:space="preserve">LOT E DISTRICT LOT 1911 PLAN 20737</t>
  </si>
  <si>
    <t xml:space="preserve">009082964</t>
  </si>
  <si>
    <t xml:space="preserve">LOT 3 BLOCK 7 DISTRICT LOT 490 PLAN 11393</t>
  </si>
  <si>
    <t xml:space="preserve">009082913</t>
  </si>
  <si>
    <t xml:space="preserve">LOT 1 BLOCK 7 DISTRICT LOT 490 PLAN 11393</t>
  </si>
  <si>
    <t xml:space="preserve">009083391</t>
  </si>
  <si>
    <t xml:space="preserve">LOT 23 BLOCK 7 DISTRICT LOT 490 PLAN 11393</t>
  </si>
  <si>
    <t xml:space="preserve">005518105</t>
  </si>
  <si>
    <t xml:space="preserve">STRATA LOT 5 DISTRICT LOT 2619 STRATA PLAN VR644 TOGETHER WITH AN INTEREST IN THE COMMON PROPERTY IN PROPORTION TO THE UNIT ENTITLEMENT OF THE STRATA LOT AS SHOWN ON FORM 1</t>
  </si>
  <si>
    <t xml:space="preserve">006566936</t>
  </si>
  <si>
    <t xml:space="preserve">LOT C DISTRICT LOT 1911 PLAN 20328</t>
  </si>
  <si>
    <t xml:space="preserve">009083286</t>
  </si>
  <si>
    <t xml:space="preserve">LOT 18 BLOCK 7 DISTRICT LOT 490 PLAN 11393</t>
  </si>
  <si>
    <t xml:space="preserve">026741440</t>
  </si>
  <si>
    <t xml:space="preserve">LOT B DISTRICT LOT 1628 GROUP 1 NEW WESTMINSTER DISTRICT PLAN BCP24826</t>
  </si>
  <si>
    <t xml:space="preserve">009083677</t>
  </si>
  <si>
    <t xml:space="preserve">LOT 10 BLOCK 8 DISTRICT LOT 490 PLAN 11393</t>
  </si>
  <si>
    <t xml:space="preserve">009397884</t>
  </si>
  <si>
    <t xml:space="preserve">LOT B OF LOT 1 DISTRICT LOT 1910 PLAN 10472</t>
  </si>
  <si>
    <t xml:space="preserve">007894937</t>
  </si>
  <si>
    <t xml:space="preserve">LOT 15 DISTRICT LOT 2619 PLAN 14205</t>
  </si>
  <si>
    <t xml:space="preserve">026007088</t>
  </si>
  <si>
    <t xml:space="preserve">LOT A DISTRICT LOT 489 GROUP 1 NEW WESTMINSTER DISTRICT PLAN BCP12404</t>
  </si>
  <si>
    <t xml:space="preserve">009122508</t>
  </si>
  <si>
    <t xml:space="preserve">LOT A DISTRICT LOT 1911 PLAN 10664</t>
  </si>
  <si>
    <t xml:space="preserve">026080389</t>
  </si>
  <si>
    <t xml:space="preserve">PARCEL A DISTRICT LOT 1911, 8004, 8005, AND 8006 GROUP 1 NEW WESTMINSTER DISTRICT PLAN BCP13970</t>
  </si>
  <si>
    <t xml:space="preserve">009118691</t>
  </si>
  <si>
    <t xml:space="preserve">BLOCK 36 DISTRICT LOT 1911 PLAN 4131</t>
  </si>
  <si>
    <t xml:space="preserve">007894902</t>
  </si>
  <si>
    <t xml:space="preserve">LOT 13 DISTRICT LOT 2619 PLAN 14205</t>
  </si>
  <si>
    <t xml:space="preserve">014155354</t>
  </si>
  <si>
    <t xml:space="preserve">LOT 31 DISTRICT LOT 2619 PLAN 22276</t>
  </si>
  <si>
    <t xml:space="preserve">009083979</t>
  </si>
  <si>
    <t xml:space="preserve">LOT A BLOCK 8 DISTRICT LOT 490 PLAN 11393</t>
  </si>
  <si>
    <t xml:space="preserve">009076620</t>
  </si>
  <si>
    <t xml:space="preserve">LOT 10 BLOCK 5 DISTRICT LOT 490 PLAN 11393</t>
  </si>
  <si>
    <t xml:space="preserve">009083243</t>
  </si>
  <si>
    <t xml:space="preserve">LOT 16 BLOCK 7 DISTRICT LOT 490 PLAN 11393</t>
  </si>
  <si>
    <t xml:space="preserve">007895054</t>
  </si>
  <si>
    <t xml:space="preserve">LOT 20 DISTRICT LOT 2619 PLAN 14205</t>
  </si>
  <si>
    <t xml:space="preserve">009083189</t>
  </si>
  <si>
    <t xml:space="preserve">LOT 14 BLOCK 7 DISTRICT LOT 490 PLAN 11393</t>
  </si>
  <si>
    <t xml:space="preserve">023258730</t>
  </si>
  <si>
    <t xml:space="preserve">LOT 1 DISTRICT LOT 489 GROUP 1 NEW WESTMINSTER DISTRICT PLAN LMP25884</t>
  </si>
  <si>
    <t xml:space="preserve">009083642</t>
  </si>
  <si>
    <t xml:space="preserve">LOT 8 BLOCK 8 DISTRICT LOT 490 PLAN 11393</t>
  </si>
  <si>
    <t xml:space="preserve">005518156</t>
  </si>
  <si>
    <t xml:space="preserve">STRATA LOT 7 DISTRICT LOT 2619 STRATA PLAN VR. 644 TOGETHER WITH AN INTEREST IN THE COMMON PROPERTY IN PROPORTION TO THE UNIT ENTITLEMENT OF THE STRATA LOT AS SHOWN ON FORM 1.</t>
  </si>
  <si>
    <t xml:space="preserve">009083618</t>
  </si>
  <si>
    <t xml:space="preserve">LOT 4 BLOCK 8 DISTRICT LOT 490 PLAN 11393</t>
  </si>
  <si>
    <t xml:space="preserve">009083693</t>
  </si>
  <si>
    <t xml:space="preserve">LOT 11 BLOCK 8 DISTRICT LOT 490 PLAN 11393</t>
  </si>
  <si>
    <t xml:space="preserve">007786336</t>
  </si>
  <si>
    <t xml:space="preserve">LOT 4 DISTRICT LOTS 2447 AND 2619 PLAN 14503</t>
  </si>
  <si>
    <t xml:space="preserve">007894970</t>
  </si>
  <si>
    <t xml:space="preserve">LOT 18 DISTRICT LOT 2619 PLAN 14205</t>
  </si>
  <si>
    <t xml:space="preserve">011798327</t>
  </si>
  <si>
    <t xml:space="preserve">LOT 59 DISTRICT LOT 1911 PLAN 4131</t>
  </si>
  <si>
    <t xml:space="preserve">018822754</t>
  </si>
  <si>
    <t xml:space="preserve">LOT 2 DISTRICT LOT 489 PLAN LMP16629</t>
  </si>
  <si>
    <t xml:space="preserve">008243956</t>
  </si>
  <si>
    <t xml:space="preserve">LOT 13 BLOCK 8 DISTRICT LOT 490 PLAN 11393</t>
  </si>
  <si>
    <t xml:space="preserve">007626959</t>
  </si>
  <si>
    <t xml:space="preserve">LOT 2 BLOCK 30 DISTRICT LOT 1628 PLAN 15765</t>
  </si>
  <si>
    <t xml:space="preserve">018231756</t>
  </si>
  <si>
    <t xml:space="preserve">LOT B BLOCK 29 DISTRICT LOT 1628 PLAN LMP10156</t>
  </si>
  <si>
    <t xml:space="preserve">007894945</t>
  </si>
  <si>
    <t xml:space="preserve">LOT 16 DISTRICT LOT 2619 PLAN 14205</t>
  </si>
  <si>
    <t xml:space="preserve">007894881</t>
  </si>
  <si>
    <t xml:space="preserve">LOT 12 DISTRICT LOT 2619 PLAN 14205</t>
  </si>
  <si>
    <t xml:space="preserve">007894961</t>
  </si>
  <si>
    <t xml:space="preserve">LOT 17 DISTRICT LOT 2619 PLAN 14205</t>
  </si>
  <si>
    <t xml:space="preserve">009083065</t>
  </si>
  <si>
    <t xml:space="preserve">LOT 9 BLOCK 7 DISTRICT LOT 490 PLAN 11393</t>
  </si>
  <si>
    <t xml:space="preserve">003426777</t>
  </si>
  <si>
    <t xml:space="preserve">LOT 27 DISTRICT LOT 1911 PLAN 4131</t>
  </si>
  <si>
    <t xml:space="preserve">006927378</t>
  </si>
  <si>
    <t xml:space="preserve">LOT 2 BLOCK D DISTRICT LOT 2447 PLAN 20011</t>
  </si>
  <si>
    <t xml:space="preserve">023258748</t>
  </si>
  <si>
    <t xml:space="preserve">LOT 2 DISTRICT LOT 489 GROUP 1 NEW WESTMINSTER DISTRICT PLAN LMP25884</t>
  </si>
  <si>
    <t xml:space="preserve">024786438</t>
  </si>
  <si>
    <t xml:space="preserve">LOT E DISTRICT LOT 1910 GROUP 1 NEW WESTMINSTER DISTRICT PLAN LMP45983</t>
  </si>
  <si>
    <t xml:space="preserve">007238762</t>
  </si>
  <si>
    <t xml:space="preserve">LOT 30 DISTRICT LOT 2619 PLAN 17960</t>
  </si>
  <si>
    <t xml:space="preserve">009083162</t>
  </si>
  <si>
    <t xml:space="preserve">LOT 13 BLOCK 7 DISTRICT LOT 490 PLAN 11393</t>
  </si>
  <si>
    <t xml:space="preserve">008249458</t>
  </si>
  <si>
    <t xml:space="preserve">LOT 2 BLOCK 7 DISTRICT LOT 490 PLAN 11393</t>
  </si>
  <si>
    <t xml:space="preserve">009267565</t>
  </si>
  <si>
    <t xml:space="preserve">THE EAST 35 FEET OF LOT 61 DISTRICT LOT 1911 PLAN 4131</t>
  </si>
  <si>
    <t xml:space="preserve">018085300</t>
  </si>
  <si>
    <t xml:space="preserve">LOT 33 DISTRICT LOT 2619 PLAN LMP8589</t>
  </si>
  <si>
    <t xml:space="preserve">007613237</t>
  </si>
  <si>
    <t xml:space="preserve">LOT 1 DISTRICT LOT 1911 PLAN 15971</t>
  </si>
  <si>
    <t xml:space="preserve">011798131</t>
  </si>
  <si>
    <t xml:space="preserve">LOT 42 DISTRICT LOT 1911 PLAN 4131</t>
  </si>
  <si>
    <t xml:space="preserve">009083049</t>
  </si>
  <si>
    <t xml:space="preserve">LOT 8 BLOCK 7 DISTRICT LOT 490 PLAN 11393</t>
  </si>
  <si>
    <t xml:space="preserve">010651624</t>
  </si>
  <si>
    <t xml:space="preserve">LOT A (REFERENCE PLAN 3336) OF LOT 1 DISTRICT LOT 1910 PLAN 7352</t>
  </si>
  <si>
    <t xml:space="preserve">009083413</t>
  </si>
  <si>
    <t xml:space="preserve">LOT 24 BLOCK 7 DISTRICT LOT 490 PLAN 11393</t>
  </si>
  <si>
    <t xml:space="preserve">005098432</t>
  </si>
  <si>
    <t xml:space="preserve">LOT 19 DISTRICT LOT 2619 PLAN 14205</t>
  </si>
  <si>
    <t xml:space="preserve">009083723</t>
  </si>
  <si>
    <t xml:space="preserve">LOT 12 BLOCK 8 DISTRICT LOT 490 PLAN 11393</t>
  </si>
  <si>
    <t xml:space="preserve">007048297</t>
  </si>
  <si>
    <t xml:space="preserve">LOT 1 OF LOT D DISTRICT LOT 2447 PLAN 21184</t>
  </si>
  <si>
    <t xml:space="preserve">011797941</t>
  </si>
  <si>
    <t xml:space="preserve">LOT 30 DISTRICT LOT 1911 PLAN 4131</t>
  </si>
  <si>
    <t xml:space="preserve">005518181</t>
  </si>
  <si>
    <t xml:space="preserve">STRATA LOT 8 DISTRICT LOT 2619 STRATA PLAN VR644 TOGETHER WITH AN INTEREST IN THE COMMON PROPERTY IN PROPORTION TO THE UNIT ENTITLEMENT OF THE STRATA LOT AS SHOWN ON FORM 1</t>
  </si>
  <si>
    <t xml:space="preserve">011797398</t>
  </si>
  <si>
    <t xml:space="preserve">LOT 29 DISTRICT LOT 1911 PLAN 4131</t>
  </si>
  <si>
    <t xml:space="preserve">005155355</t>
  </si>
  <si>
    <t xml:space="preserve">LOT 28 DISTRICT LOT 1628 PLAN 8645</t>
  </si>
  <si>
    <t xml:space="preserve">007894805</t>
  </si>
  <si>
    <t xml:space="preserve">LOT 2 DISTRICT LOT 2619 PLAN 14205</t>
  </si>
  <si>
    <t xml:space="preserve">008434841</t>
  </si>
  <si>
    <t xml:space="preserve">LOT 9 BLOCK 8 DISTRICT LOT 490 PLAN 11393</t>
  </si>
  <si>
    <t xml:space="preserve">008333858</t>
  </si>
  <si>
    <t xml:space="preserve">LOT 5 BLOCK 7 DISTRICT LOT 490 PLAN 11393</t>
  </si>
  <si>
    <t xml:space="preserve">009083782</t>
  </si>
  <si>
    <t xml:space="preserve">LOT 15 BLOCK 8 DISTRICT LOT 490 PLAN 11393</t>
  </si>
  <si>
    <t xml:space="preserve">008151571</t>
  </si>
  <si>
    <t xml:space="preserve">LOT 2 BLOCK B DISTRICT LOT 1628 PLAN 10433</t>
  </si>
  <si>
    <t xml:space="preserve">007613261</t>
  </si>
  <si>
    <t xml:space="preserve">LOT 2 DISTRICT LOT 1911 PLAN 15971</t>
  </si>
  <si>
    <t xml:space="preserve">024124061</t>
  </si>
  <si>
    <t xml:space="preserve">LOT 7 DISTRICT LOT 1910 GROUP 1 NEW WESTMINSTER DISTRICT PLAN LMP37634</t>
  </si>
  <si>
    <t xml:space="preserve">009083766</t>
  </si>
  <si>
    <t xml:space="preserve">LOT 14 BLOCK 8 DISTRICT LOT 490 PLAN 11393</t>
  </si>
  <si>
    <t xml:space="preserve">003325296</t>
  </si>
  <si>
    <t xml:space="preserve">LOT F DISTRICT LOT 1911 PLAN 20737</t>
  </si>
  <si>
    <t xml:space="preserve">011797525</t>
  </si>
  <si>
    <t xml:space="preserve">LOT A (EXPLANATORY PLAN 5693) OF LOT 28 DISTRICT LOT 1911 PLAN 4131</t>
  </si>
  <si>
    <t xml:space="preserve">009083600</t>
  </si>
  <si>
    <t xml:space="preserve">LOT 3 BLOCK 8 DISTRICT LOT 490 PLAN 11393</t>
  </si>
  <si>
    <t xml:space="preserve">009083031</t>
  </si>
  <si>
    <t xml:space="preserve">LOT 6 BLOCK 7 DISTRICT LOT 490 PLAN 11393</t>
  </si>
  <si>
    <t xml:space="preserve">009083324</t>
  </si>
  <si>
    <t xml:space="preserve">LOT 19 BLOCK 7 DISTRICT LOT 490 PLAN 11393</t>
  </si>
  <si>
    <t xml:space="preserve">009076565</t>
  </si>
  <si>
    <t xml:space="preserve">LOT 6 BLOCK 5 DISTRICT LOT 490 PLAN 11393</t>
  </si>
  <si>
    <t xml:space="preserve">028057287</t>
  </si>
  <si>
    <t xml:space="preserve">LOT 5 DISTRICT LOT 2447 GROUP 1 NEW WESTMINSTER DISTRICT PLAN BCP42558</t>
  </si>
  <si>
    <t xml:space="preserve">024786411</t>
  </si>
  <si>
    <t xml:space="preserve">LOT D DISTRICT LOT 1910 GROUP 1 NEW WESTMINSTER DISTRICT PLAN LMP45983</t>
  </si>
  <si>
    <t xml:space="preserve">007894872</t>
  </si>
  <si>
    <t xml:space="preserve">LOT 11 DISTRICT LOT 2619 PLAN 14205</t>
  </si>
  <si>
    <t xml:space="preserve">009083260</t>
  </si>
  <si>
    <t xml:space="preserve">LOT 17 BLOCK 7 DISTRICT LOT 490 PLAN 11393</t>
  </si>
  <si>
    <t xml:space="preserve">009491503</t>
  </si>
  <si>
    <t xml:space="preserve">LOT 2 BLOCK 9 DISTRICT LOT 1552 PLAN 10144</t>
  </si>
  <si>
    <t xml:space="preserve">004225392</t>
  </si>
  <si>
    <t xml:space="preserve">LOT 6 BLOCK 4 OF BLOCK A DISTRICT LOT 1553 PLAN 4042</t>
  </si>
  <si>
    <t xml:space="preserve">011966483</t>
  </si>
  <si>
    <t xml:space="preserve">LOT 17 BLOCK 3 OF BLOCK A DISTRICT LOT 1553 PLAN 4042</t>
  </si>
  <si>
    <t xml:space="preserve">018978517</t>
  </si>
  <si>
    <t xml:space="preserve">LOT D BLOCK 1 OF BLOCK A DISTRICT LOT 1553 PLAN LMP19171</t>
  </si>
  <si>
    <t xml:space="preserve">011965380</t>
  </si>
  <si>
    <t xml:space="preserve">LOT 15 BLOCK 5 OF BLOCK A DISTRICT LOT 1553 PLAN 4042</t>
  </si>
  <si>
    <t xml:space="preserve">011394927</t>
  </si>
  <si>
    <t xml:space="preserve">LOT 5 OF LOT 5 BLOCKS 6 TO 8 DISTRICT LOT 1552 PLAN 4712</t>
  </si>
  <si>
    <t xml:space="preserve">010435140</t>
  </si>
  <si>
    <t xml:space="preserve">LOT 12 BLOCK 4 OF BLOCK A DISTRICT LOT 1553 PLAN 4042</t>
  </si>
  <si>
    <t xml:space="preserve">011966432</t>
  </si>
  <si>
    <t xml:space="preserve">LOT 14 BLOCK 3 OF BLOCK A DISTRICT LOT 1553 PLAN 4042</t>
  </si>
  <si>
    <t xml:space="preserve">011965631</t>
  </si>
  <si>
    <t xml:space="preserve">LOT 16 BLOCK 4 OF BLOCK A DISTRICT LOT 1553 PLAN 4042</t>
  </si>
  <si>
    <t xml:space="preserve">009918256</t>
  </si>
  <si>
    <t xml:space="preserve">LOT 10 BLOCK 6 OF BLOCK A DISTRICT LOT 1553 PLAN 4042</t>
  </si>
  <si>
    <t xml:space="preserve">009420908</t>
  </si>
  <si>
    <t xml:space="preserve">LOT B BLOCKS 6 TO 9 DISTRICT LOT 1552 PLAN 10276</t>
  </si>
  <si>
    <t xml:space="preserve">004187008</t>
  </si>
  <si>
    <t xml:space="preserve">LOT A OF LOT 10 DISTRICT LOT 1552 PLAN 13237</t>
  </si>
  <si>
    <t xml:space="preserve">009456198</t>
  </si>
  <si>
    <t xml:space="preserve">LOT 5 BLOCK 6 OF BLOCK A DISTRICT LOT 1553 PLAN 4042</t>
  </si>
  <si>
    <t xml:space="preserve">007036353</t>
  </si>
  <si>
    <t xml:space="preserve">LOT 1 BLOCK 9 DISTRICT LOT 1552 PLAN 19596</t>
  </si>
  <si>
    <t xml:space="preserve">011965355</t>
  </si>
  <si>
    <t xml:space="preserve">LOT 12 BLOCK 5 OF BLOCK A DISTRICT LOT 1553 PLAN 4042</t>
  </si>
  <si>
    <t xml:space="preserve">011966301</t>
  </si>
  <si>
    <t xml:space="preserve">LOT 4 BLOCK 3 OF BLOCK A DISTRICT LOT 1553 PLAN 4042</t>
  </si>
  <si>
    <t xml:space="preserve">017239320</t>
  </si>
  <si>
    <t xml:space="preserve">LOT B BLOCK 1 OF BLOCK A DISTRICT LOT 1553 PLAN LMP65</t>
  </si>
  <si>
    <t xml:space="preserve">009456155</t>
  </si>
  <si>
    <t xml:space="preserve">LOT 4 BLOCK 6 OF BLOCK A DISTRICT LOT 1553 PLAN 4042</t>
  </si>
  <si>
    <t xml:space="preserve">011965282</t>
  </si>
  <si>
    <t xml:space="preserve">LOT 10 BLOCK 5 OF BLOCK A DISTRICT LOT 1553 PLAN 4042</t>
  </si>
  <si>
    <t xml:space="preserve">011965363</t>
  </si>
  <si>
    <t xml:space="preserve">LOT 13 BLOCK 5 OF BLOCK A DISTRICT LOT 1553 PLAN 4042</t>
  </si>
  <si>
    <t xml:space="preserve">011966505</t>
  </si>
  <si>
    <t xml:space="preserve">LOT 18 BLOCK 3 OF BLOCK A DISTRICT LOT 1553 PLAN 4042</t>
  </si>
  <si>
    <t xml:space="preserve">006933122</t>
  </si>
  <si>
    <t xml:space="preserve">LOT 9 OF LOT 5 BLOCKS 6 TO 8 DISTRICT LOT 1552 PLAN 4712</t>
  </si>
  <si>
    <t xml:space="preserve">008256501</t>
  </si>
  <si>
    <t xml:space="preserve">LOT 3 BLOCK 4 OF BLOCK A DISTRICT LOT 1553 PLAN 4042</t>
  </si>
  <si>
    <t xml:space="preserve">008830045</t>
  </si>
  <si>
    <t xml:space="preserve">LOT B OF LOT 2 BLOCK A DISTRICT LOT 1553 PLAN 12746</t>
  </si>
  <si>
    <t xml:space="preserve">011966467</t>
  </si>
  <si>
    <t xml:space="preserve">LOT 16 BLOCK 3 OF BLOCK A DISTRICT LOT 1553 PLAN 4042</t>
  </si>
  <si>
    <t xml:space="preserve">007225695</t>
  </si>
  <si>
    <t xml:space="preserve">LOT 7 BLOCK 5 OF BLOCK A DISTRICT LOT 1553 PLAN 4042</t>
  </si>
  <si>
    <t xml:space="preserve">011396440</t>
  </si>
  <si>
    <t xml:space="preserve">LOT 12 OF LOT 5 BLOCKS 6 TO 8 DISTRICT LOT 1552 PLAN 4712</t>
  </si>
  <si>
    <t xml:space="preserve">009420860</t>
  </si>
  <si>
    <t xml:space="preserve">LOT A BLOCKS 6 TO 9 DISTRICT LOT 1552 PLAN 10276</t>
  </si>
  <si>
    <t xml:space="preserve">011966327</t>
  </si>
  <si>
    <t xml:space="preserve">LOT 5 BLOCK 3 OF BLOCK A DISTRICT LOT 1553 PLAN 4042</t>
  </si>
  <si>
    <t xml:space="preserve">011966271</t>
  </si>
  <si>
    <t xml:space="preserve">LOT 3 BLOCK 3 OF BLOCK A DISTRICT LOT 1553 PLAN 4042</t>
  </si>
  <si>
    <t xml:space="preserve">011945095</t>
  </si>
  <si>
    <t xml:space="preserve">LOT 9 BLOCK 6 OF BLOCK A DISTRICT LOT 1553 PLAN 4042</t>
  </si>
  <si>
    <t xml:space="preserve">026447690</t>
  </si>
  <si>
    <t xml:space="preserve">LOT B DISTRICT LOT 1553 BLOCK A NEW WESTMINSTER DISTRICT PLAN BCP20186</t>
  </si>
  <si>
    <t xml:space="preserve">011965304</t>
  </si>
  <si>
    <t xml:space="preserve">LOT 11 BLOCK 5 OF BLOCK A DISTRICT LOT 1553 PLAN 4042</t>
  </si>
  <si>
    <t xml:space="preserve">011966262</t>
  </si>
  <si>
    <t xml:space="preserve">LOT 2 BLOCK 3 OF BLOCK A DISTRICT LOT 1553 PLAN 4042</t>
  </si>
  <si>
    <t xml:space="preserve">008319448</t>
  </si>
  <si>
    <t xml:space="preserve">LOT 8 BLOCK 4 OF BLOCK A DISTRICT LOT 1553 PLAN 4042</t>
  </si>
  <si>
    <t xml:space="preserve">011945087</t>
  </si>
  <si>
    <t xml:space="preserve">LOT 3 BLOCK 6 OF BLOCK A DISTRICT LOT 1553 PLAN 4042</t>
  </si>
  <si>
    <t xml:space="preserve">011965274</t>
  </si>
  <si>
    <t xml:space="preserve">LOT 9 BLOCK 5 OF BLOCK A DISTRICT LOT 1553 PLAN 4042</t>
  </si>
  <si>
    <t xml:space="preserve">010435166</t>
  </si>
  <si>
    <t xml:space="preserve">LOT 13 BLOCK 4 OF BLOCK A DISTRICT LOT 1553 PLAN 4042</t>
  </si>
  <si>
    <t xml:space="preserve">018175261</t>
  </si>
  <si>
    <t xml:space="preserve">LOT B (SEE BG94135) OF LOT 5 BLOCKS 6 TO 8 DISTRICT LOT 1552 PLAN 4712</t>
  </si>
  <si>
    <t xml:space="preserve">008830053</t>
  </si>
  <si>
    <t xml:space="preserve">LOT C OF LOT 2 BLOCK A DISTRICT LOT 1553 PLAN 12746</t>
  </si>
  <si>
    <t xml:space="preserve">011396423</t>
  </si>
  <si>
    <t xml:space="preserve">LOT 10 OF LOT 5 BLOCKS 6 TO 8 DISTRICT LOT 1552 PLAN 4712</t>
  </si>
  <si>
    <t xml:space="preserve">011621702</t>
  </si>
  <si>
    <t xml:space="preserve">LOT 2 BLOCK 4 OF BLOCK A DISTRICT LOT 1553 PLAN 4042</t>
  </si>
  <si>
    <t xml:space="preserve">011838671</t>
  </si>
  <si>
    <t xml:space="preserve">LOT 7 OF BLOCK 1 OF BLOCK A DISTRICT LOT 1553 PLAN 4042</t>
  </si>
  <si>
    <t xml:space="preserve">011396997</t>
  </si>
  <si>
    <t xml:space="preserve">LOT 5 OF LOT 4 BLOCKS 6 TO 8 DISTRICT LOT 1552 PLAN 4712</t>
  </si>
  <si>
    <t xml:space="preserve">008319430</t>
  </si>
  <si>
    <t xml:space="preserve">LOT 7 BLOCK 4 OF BLOCK A DISTRICT LOT 1553 PLAN 4042</t>
  </si>
  <si>
    <t xml:space="preserve">004292936</t>
  </si>
  <si>
    <t xml:space="preserve">LOT 19 BLOCK 5 OF BLOCK A DISTRICT LOT 1553 PLAN 4042</t>
  </si>
  <si>
    <t xml:space="preserve">011966335</t>
  </si>
  <si>
    <t xml:space="preserve">LOT 6 BLOCK 3 OF BLOCK A DISTRICT LOT 1553 PLAN 4042</t>
  </si>
  <si>
    <t xml:space="preserve">009456261</t>
  </si>
  <si>
    <t xml:space="preserve">LOT 19 BLOCK 6 OF BLOCK A DISTRICT LOT 1553 PLAN 4042</t>
  </si>
  <si>
    <t xml:space="preserve">011965266</t>
  </si>
  <si>
    <t xml:space="preserve">LOT 8 BLOCK 5 OF BLOCK A DISTRICT LOT 1553 PLAN 4042</t>
  </si>
  <si>
    <t xml:space="preserve">009456201</t>
  </si>
  <si>
    <t xml:space="preserve">LOT 6 BLOCK 6 OF BLOCK A DISTRICT LOT 1553 PLAN 4042</t>
  </si>
  <si>
    <t xml:space="preserve">017239311</t>
  </si>
  <si>
    <t xml:space="preserve">LOT A BLOCK 1 OF BLOCK A DISTRICT LOT 1553 PLAN LMP65</t>
  </si>
  <si>
    <t xml:space="preserve">011520442</t>
  </si>
  <si>
    <t xml:space="preserve">LOT 14 BLOCK 6 OF BLOCK A DISTRICT LOT 1553 PLAN 4042</t>
  </si>
  <si>
    <t xml:space="preserve">002989301</t>
  </si>
  <si>
    <t xml:space="preserve">LOT 12 BLOCK 3 OF BLOCK A DISTRICT LOT 1553 PLAN 4042</t>
  </si>
  <si>
    <t xml:space="preserve">011965258</t>
  </si>
  <si>
    <t xml:space="preserve">LOT 6 BLOCK 5 OF BLOCK A DISTRICT LOT 1553 PLAN 4042</t>
  </si>
  <si>
    <t xml:space="preserve">008354910</t>
  </si>
  <si>
    <t xml:space="preserve">LOT 18 BLOCK 4 OF BLOCK A DISTRICT LOT 1553 PLAN 4042</t>
  </si>
  <si>
    <t xml:space="preserve">009420649</t>
  </si>
  <si>
    <t xml:space="preserve">LOT 10 BLOCK 9 DISTRICT LOT 1552 PLAN 10275</t>
  </si>
  <si>
    <t xml:space="preserve">011966246</t>
  </si>
  <si>
    <t xml:space="preserve">LOT 1 BLOCK 3 OF BLOCK A DISTRICT LOT 1553 PLAN 4042</t>
  </si>
  <si>
    <t xml:space="preserve">009456236</t>
  </si>
  <si>
    <t xml:space="preserve">LOT 17 BLOCK 6 OF BLOCK A DISTRICT LOT 1553 PLAN 4042</t>
  </si>
  <si>
    <t xml:space="preserve">011967137</t>
  </si>
  <si>
    <t xml:space="preserve">LOT 9 BLOCK 1 OF BLOCK A DISTRICT LOT 1553 PLAN 4042</t>
  </si>
  <si>
    <t xml:space="preserve">011503602</t>
  </si>
  <si>
    <t xml:space="preserve">LOT 6 BLOCK 1 OF BLOCK A DISTRICT LOT 1553 PLAN 4042</t>
  </si>
  <si>
    <t xml:space="preserve">011945133</t>
  </si>
  <si>
    <t xml:space="preserve">LOT 15 BLOCK 6 OF BLOCK A DISTRICT LOT 1553 PLAN 4042</t>
  </si>
  <si>
    <t xml:space="preserve">009456112</t>
  </si>
  <si>
    <t xml:space="preserve">LOT 1 BLOCK 6 OF BLOCK A DISTRICT LOT 1553 PLAN 4042</t>
  </si>
  <si>
    <t xml:space="preserve">009456309</t>
  </si>
  <si>
    <t xml:space="preserve">LOT 20 BLOCK 6 OF BLOCK A DISTRICT LOT 1553 PLAN 4042</t>
  </si>
  <si>
    <t xml:space="preserve">009456121</t>
  </si>
  <si>
    <t xml:space="preserve">LOT 2 BLOCK 6 OF BLOCK A DISTRICT LOT 1553 PLAN 4042</t>
  </si>
  <si>
    <t xml:space="preserve">011410655</t>
  </si>
  <si>
    <t xml:space="preserve">LOT 12 BLOCK 1 OF BLOCK A DISTRICT LOT 1553 PLAN 4042</t>
  </si>
  <si>
    <t xml:space="preserve">010512039</t>
  </si>
  <si>
    <t xml:space="preserve">LOT 12 BLOCK 6 OF BLOCK A DISTRICT LOT 1553 PLAN 4042</t>
  </si>
  <si>
    <t xml:space="preserve">011410671</t>
  </si>
  <si>
    <t xml:space="preserve">LOT 13 BLOCK 1 OF BLOCK A DISTRICT LOT 1553 PLAN 4042</t>
  </si>
  <si>
    <t xml:space="preserve">005295777</t>
  </si>
  <si>
    <t xml:space="preserve">LOT 6 BLOCK 4 0F BLOCKS 6, 7 AND 8 DISTRICT LOT 1552 PLAN 4712</t>
  </si>
  <si>
    <t xml:space="preserve">011965428</t>
  </si>
  <si>
    <t xml:space="preserve">LOT 21 BLOCK 5 OF BLOCK A DISTRICT LOT 1553 PLAN 4042</t>
  </si>
  <si>
    <t xml:space="preserve">011945141</t>
  </si>
  <si>
    <t xml:space="preserve">LOT 16 BLOCK 6 OF BLOCK A DISTRICT LOT 1553 PLAN 4042</t>
  </si>
  <si>
    <t xml:space="preserve">011967129</t>
  </si>
  <si>
    <t xml:space="preserve">LOT 8 BLOCK 1 OF BLOCK A DISTRICT LOT 1553 PLAN 4042</t>
  </si>
  <si>
    <t xml:space="preserve">010087303</t>
  </si>
  <si>
    <t xml:space="preserve">LOT 16 BLOCK 5 OF BLOCK A DISTRICT LOT 1553 PLAN 4042</t>
  </si>
  <si>
    <t xml:space="preserve">011965398</t>
  </si>
  <si>
    <t xml:space="preserve">THE NORTH 40 FEET OF LOT 17 BLOCK 5 OF BLOCK A DISTRICT LOT 1553 PLAN 4042</t>
  </si>
  <si>
    <t xml:space="preserve">009456376</t>
  </si>
  <si>
    <t xml:space="preserve">LOT 22 BLOCK 6 OF BLOCK A DISTRICT LOT 1553 GROUP 1 NEW WESTMINSTER DISTRICT PLAN 4042</t>
  </si>
  <si>
    <t xml:space="preserve">026759560</t>
  </si>
  <si>
    <t xml:space="preserve">LOTT B OF LOT 5 BLOCKS 6 TO 8 DISTRICT LOT 1552 GROUP 1 NEW WESTMINSTER DISTRICT PLAN BCP25140</t>
  </si>
  <si>
    <t xml:space="preserve">025993143</t>
  </si>
  <si>
    <t xml:space="preserve">LOT Q DISTRICT LOT 1552 GROUP 1 NEW WESTMINSTER DISTRICT PLAN BCP12073</t>
  </si>
  <si>
    <t xml:space="preserve">011965576</t>
  </si>
  <si>
    <t xml:space="preserve">LOT 15 BLOCK 4 OF BLOCK A DISTRICT LOT 1553 PLAN 4042</t>
  </si>
  <si>
    <t xml:space="preserve">011965665</t>
  </si>
  <si>
    <t xml:space="preserve">LOT 17 BLOCK 4 OF BLOCK A DISTRICT LOT 1553 PLAN 4042</t>
  </si>
  <si>
    <t xml:space="preserve">011945109</t>
  </si>
  <si>
    <t xml:space="preserve">LOT 11 BLOCK 6 OF BLOCK A DISTRICT LOT 1553 PLAN 4042</t>
  </si>
  <si>
    <t xml:space="preserve">011966351</t>
  </si>
  <si>
    <t xml:space="preserve">LOT 7 BLOCK 3 OF BLOCK A DISTRICT LOT 1553 PLAN 4042</t>
  </si>
  <si>
    <t xml:space="preserve">011966441</t>
  </si>
  <si>
    <t xml:space="preserve">LOT 15 BLOCK 3 OF BLOCK A DISTRICT LOT 1553 PLAN 4042</t>
  </si>
  <si>
    <t xml:space="preserve">009456341</t>
  </si>
  <si>
    <t xml:space="preserve">LOT 21 BLOCK 6 OF BLOCK A DISTRICT LOT 1553 PLAN 4042</t>
  </si>
  <si>
    <t xml:space="preserve">009421327</t>
  </si>
  <si>
    <t xml:space="preserve">LOT C BLOCKS 6 TO 9 DISTRICT LOT 1552 PLAN 10276</t>
  </si>
  <si>
    <t xml:space="preserve">011965550</t>
  </si>
  <si>
    <t xml:space="preserve">LOT 4 BLOCK 4 OF BLOCK A DISTRICT LOT 1553 PLAN 4042</t>
  </si>
  <si>
    <t xml:space="preserve">011965606</t>
  </si>
  <si>
    <t xml:space="preserve">LOT 14 BLOCK 4 OF BLOCK A DISTRICT LOT 1553 PLAN 4042</t>
  </si>
  <si>
    <t xml:space="preserve">008770379</t>
  </si>
  <si>
    <t xml:space="preserve">LOT 3 OF LOT 4 BLOCKS 6 TO 8 DISTRICT LOT 1552 PLAN 4712</t>
  </si>
  <si>
    <t xml:space="preserve">009456252</t>
  </si>
  <si>
    <t xml:space="preserve">LOT 18 BLOCK 6 OF BLOCK A DISTRICT LOT 1553 PLAN 4042</t>
  </si>
  <si>
    <t xml:space="preserve">011966360</t>
  </si>
  <si>
    <t xml:space="preserve">LOT 8 BLOCK 3 OF BLOCK A DISTRICT LOT 1553 PLAN 4042</t>
  </si>
  <si>
    <t xml:space="preserve">008830100</t>
  </si>
  <si>
    <t xml:space="preserve">LOT D OF LOT 2 BLOCK A DISTRICT LOT 1553 PLAN 12746</t>
  </si>
  <si>
    <t xml:space="preserve">011621699</t>
  </si>
  <si>
    <t xml:space="preserve">LOT 1 BLOCK 4 OF BLOCK A DISTRICT LOT 1553 PLAN 4042</t>
  </si>
  <si>
    <t xml:space="preserve">011966424</t>
  </si>
  <si>
    <t xml:space="preserve">LOT 13 BLOCK 3 OF BLOCK A DISTRICT LOT 1553 PLAN 4042</t>
  </si>
  <si>
    <t xml:space="preserve">011965371</t>
  </si>
  <si>
    <t xml:space="preserve">LOT 14 BLOCK 5 OF BLOCK A DISTRICT LOT 1553 PLAN 4042</t>
  </si>
  <si>
    <t xml:space="preserve">011396989</t>
  </si>
  <si>
    <t xml:space="preserve">LOT 4 OF LOT 4 BLOCKS 6 TO 8 DISTRICT LOT 1552 PLAN 4712</t>
  </si>
  <si>
    <t xml:space="preserve">011966416</t>
  </si>
  <si>
    <t xml:space="preserve">LOT 11 BLOCK 3 OF BLOCK A DISTRICT LOT 1553 PLAN 4042</t>
  </si>
  <si>
    <t xml:space="preserve">026447657</t>
  </si>
  <si>
    <t xml:space="preserve">LOT A DISTRICT LOT 1553 BLOCK A NEW WESTMINSTER DISTRICT PLAN BCP20186</t>
  </si>
  <si>
    <t xml:space="preserve">008319456</t>
  </si>
  <si>
    <t xml:space="preserve">LOT 9 BLOCK 4 OF BLOCK A DISTRICT LOT 1553 PLAN 4042</t>
  </si>
  <si>
    <t xml:space="preserve">011713429</t>
  </si>
  <si>
    <t xml:space="preserve">LOT 10 BLOCK 3 OF BLOCK A DISTRICT LOT 1553 PLAN 4042</t>
  </si>
  <si>
    <t xml:space="preserve">011965584</t>
  </si>
  <si>
    <t xml:space="preserve">LOT 5 BLOCK 4 OF BLOCK A DISTRICT LOT 1553 PLAN 4042</t>
  </si>
  <si>
    <t xml:space="preserve">011965452</t>
  </si>
  <si>
    <t xml:space="preserve">LOT 20 BLOCK 5 OF BLOCK A DISTRICT LOT 1553 PLAN 4042</t>
  </si>
  <si>
    <t xml:space="preserve">023108983</t>
  </si>
  <si>
    <t xml:space="preserve">LOT B BLOCK 5 DISTRICT LOT 1553 NEW WESTMINSTER DISTRICT PLAN LMP23938</t>
  </si>
  <si>
    <t xml:space="preserve">007036370</t>
  </si>
  <si>
    <t xml:space="preserve">LOT 2 BLOCK 9 DISTRICT LOT 1552 PLAN 19596</t>
  </si>
  <si>
    <t xml:space="preserve">011966394</t>
  </si>
  <si>
    <t xml:space="preserve">LOT 9 BLOCK 3 OF BLOCK A DISTRICT LOT 1553 PLAN 4042</t>
  </si>
  <si>
    <t xml:space="preserve">009491511</t>
  </si>
  <si>
    <t xml:space="preserve">LOT 3 BLOCK 9 DISTRICT LOT 1552 PLAN 10144</t>
  </si>
  <si>
    <t xml:space="preserve">005170249</t>
  </si>
  <si>
    <t xml:space="preserve">LOT 11 OF LOT 5 BLOCKS 6 TO 8 DISTRICT LOT 1552 PLAN 4712</t>
  </si>
  <si>
    <t xml:space="preserve">011396644</t>
  </si>
  <si>
    <t xml:space="preserve">LOT A (EXPLANATORY PLAN 5164) OF LOT 15 OF LOT 5 BLOCKS 6 TO 8 DISTRICT LOT 1552 PLAN 4712</t>
  </si>
  <si>
    <t xml:space="preserve">011945117</t>
  </si>
  <si>
    <t xml:space="preserve">LOT 13 BLOCK 6 OF BLOCK A DISTRICT LOT 1553 PLAN 4042</t>
  </si>
  <si>
    <t xml:space="preserve">015841855</t>
  </si>
  <si>
    <t xml:space="preserve">LOT F BLOCK 11 DISTRICT LOT 1552 PLAN 22730</t>
  </si>
  <si>
    <t xml:space="preserve">008985995</t>
  </si>
  <si>
    <t xml:space="preserve">LOT 1 BLOCK 18 DISTRICT LOT 1552 PLAN 11957</t>
  </si>
  <si>
    <t xml:space="preserve">008841578</t>
  </si>
  <si>
    <t xml:space="preserve">LOT 3 BLOCK 13 DISTRICT LOT 1552 PLAN 10471</t>
  </si>
  <si>
    <t xml:space="preserve">017653088</t>
  </si>
  <si>
    <t xml:space="preserve">LOT B BLOCK 12 DISTRICT LOT 1552 PLAN LMP2989</t>
  </si>
  <si>
    <t xml:space="preserve">008986002</t>
  </si>
  <si>
    <t xml:space="preserve">LOT 2 BLOCK 18 DISTRICT LOT 1552 PLAN 11957</t>
  </si>
  <si>
    <t xml:space="preserve">009397949</t>
  </si>
  <si>
    <t xml:space="preserve">LOT 2 BLOCK 13 DISTRICT LOT 1552 PLAN 10471</t>
  </si>
  <si>
    <t xml:space="preserve">024138096</t>
  </si>
  <si>
    <t xml:space="preserve">LOT 1 DISTRICT LOTS 2958 AND 2958A GROUP 1 NEW WESTMINSTER DISTRICT PLAN LMP37792</t>
  </si>
  <si>
    <t xml:space="preserve">019051352</t>
  </si>
  <si>
    <t xml:space="preserve">LOT N BLOCK 11 DISTRICT LOT 1552 GROUP 1 NEW WESTMINSTER DISTRICT PLAN LMP19932</t>
  </si>
  <si>
    <t xml:space="preserve">027341933</t>
  </si>
  <si>
    <t xml:space="preserve">LOT 1 DISTRICT LOT 1552 GROUP 1 NEW WESTMINSTER DISTRICT PLAN BCP33961</t>
  </si>
  <si>
    <t xml:space="preserve">009397931</t>
  </si>
  <si>
    <t xml:space="preserve">LOT 1 BLOCK 13 DISTRICT LOT 1552 PLAN 10471</t>
  </si>
  <si>
    <t xml:space="preserve">008986029</t>
  </si>
  <si>
    <t xml:space="preserve">LOT 4 BLOCK 18 DISTRICT LOT 1552 PLAN 11957</t>
  </si>
  <si>
    <t xml:space="preserve">008986011</t>
  </si>
  <si>
    <t xml:space="preserve">LOT 3 BLOCK 18 DISTRICT LOT 1552 PLAN 11957</t>
  </si>
  <si>
    <t xml:space="preserve">025505874</t>
  </si>
  <si>
    <t xml:space="preserve">LOT A (BT335147) BLOCK 2 DISTRICT LOT 2958 GROUP 1 NEW WESTMINSTER DISTRICT PLAN 10150</t>
  </si>
  <si>
    <t xml:space="preserve">019138148</t>
  </si>
  <si>
    <t xml:space="preserve">LOT M BLOCK 18 DISTRICT LOT 1552 PLAN LMP21359</t>
  </si>
  <si>
    <t xml:space="preserve">019138130</t>
  </si>
  <si>
    <t xml:space="preserve">LOT L BLOCK 18 DISTRICT LOT 1552 PLAN LMP21359</t>
  </si>
  <si>
    <t xml:space="preserve">030070554</t>
  </si>
  <si>
    <t xml:space="preserve">LOT 1 BLOCK 17 DISTRICT LOT 1552 NEW WESTMINSTER DISTRICT PLAN EPP28173</t>
  </si>
  <si>
    <t xml:space="preserve">027144585</t>
  </si>
  <si>
    <t xml:space="preserve">LOT B DISTRICT LOT 6014 GROUP 1 NEW WESTMINSTER DISTRICT PLAN BCP31282</t>
  </si>
  <si>
    <t xml:space="preserve">028877560</t>
  </si>
  <si>
    <t xml:space="preserve">LOT 3 DISTRICT LOT 6015 GROUP 1 NEW WESTMINSTER DISTRICT PLAN BCP51035</t>
  </si>
  <si>
    <t xml:space="preserve">028877551</t>
  </si>
  <si>
    <t xml:space="preserve">LOT 2 DISTRICT LOT 6015 GROUP 1 NEW WESTMINSTER DISTRICT PLAN BCP51035</t>
  </si>
  <si>
    <t xml:space="preserve">028877543</t>
  </si>
  <si>
    <t xml:space="preserve">LOT 1 DISTRICT LOT 6015 GROUP 1 NEW WESTMINSTER DISTRICT PLAN BCP51035</t>
  </si>
  <si>
    <t xml:space="preserve">027144569</t>
  </si>
  <si>
    <t xml:space="preserve">LOT A DISTRICT LOT 6014 GROUP 1 NEW WESTMINSTER DISTRICT PLAN BCP31282</t>
  </si>
  <si>
    <t xml:space="preserve">011503556</t>
  </si>
  <si>
    <t xml:space="preserve">LOT 3 BLOCK 1 OF BLOCK A DISTRICT LOT 1553 PLAN 4042</t>
  </si>
  <si>
    <t xml:space="preserve">016105150</t>
  </si>
  <si>
    <t xml:space="preserve">LOT F BLOCK 4 DISTRICT LOT 1347 PLAN 22877</t>
  </si>
  <si>
    <t xml:space="preserve">016395735</t>
  </si>
  <si>
    <t xml:space="preserve">LOT F DISTRICT LOT 489 PLAN 22971</t>
  </si>
  <si>
    <t xml:space="preserve">016395727</t>
  </si>
  <si>
    <t xml:space="preserve">LOT E DISTRICT LOT 489 PLAN 22971</t>
  </si>
  <si>
    <t xml:space="preserve">016395719</t>
  </si>
  <si>
    <t xml:space="preserve">LOT D DISTRICT LOT 489 PLAN 22971</t>
  </si>
  <si>
    <t xml:space="preserve">003353451</t>
  </si>
  <si>
    <t xml:space="preserve">LOT 6 DISTRICT LOT 2619 PLAN 14205</t>
  </si>
  <si>
    <t xml:space="preserve">007894830</t>
  </si>
  <si>
    <t xml:space="preserve">LOT 5 DISTRICT LOT 2619 PLAN 14205</t>
  </si>
  <si>
    <t xml:space="preserve">005518041</t>
  </si>
  <si>
    <t xml:space="preserve">STRATA LOT 1 DISTRICT LOT 2619 STRATA PLAN VR. 644 TOGETHER WITH AN INTEREST IN THE COMMON PROPERTY IN PROPORTION TO THE UNIT ENTITLEMENT OF THE STRATA LOT AS SHOWN ON FORM 1.</t>
  </si>
  <si>
    <t xml:space="preserve">008509417</t>
  </si>
  <si>
    <t xml:space="preserve">LOT 14 BLOCK B DISTRICT LOT 1545 PLAN 13739</t>
  </si>
  <si>
    <t xml:space="preserve">011503548</t>
  </si>
  <si>
    <t xml:space="preserve">LOT 2 BLOCK 1 OF BLOCK A DISTRICT LOT 1553 PLAN 4042</t>
  </si>
  <si>
    <t xml:space="preserve">011965231</t>
  </si>
  <si>
    <t xml:space="preserve">LOT 4 BLOCK 5 OF BLOCK A DISTRICT LOT 1553 PLAN 4042</t>
  </si>
  <si>
    <t xml:space="preserve">023108975</t>
  </si>
  <si>
    <t xml:space="preserve">LOT A BLOCK 5 DISTRICT LOT 1553 NEW WESTMINSTER DISTRICT PLAN LMP23938</t>
  </si>
  <si>
    <t xml:space="preserve">011965240</t>
  </si>
  <si>
    <t xml:space="preserve">LOT 5 BLOCK 5 OF BLOCK A DISTRICT LOT 1553 PLAN 4042</t>
  </si>
  <si>
    <t xml:space="preserve">011965193</t>
  </si>
  <si>
    <t xml:space="preserve">LOT 3 BLOCK 5 OF BLOCK A DISTRICT LOT 1553 PLAN 4042</t>
  </si>
  <si>
    <t xml:space="preserve">014495422</t>
  </si>
  <si>
    <t xml:space="preserve">DISTRICT LOT 1715 GROUP 1 NEW WESTMINSTER DISTRICT</t>
  </si>
  <si>
    <t xml:space="preserve">008962138</t>
  </si>
  <si>
    <t xml:space="preserve">LOT 2 OF LOT 3 BLOCK A DISTRICT LOT 492 PLAN 12080</t>
  </si>
  <si>
    <t xml:space="preserve">030894620</t>
  </si>
  <si>
    <t xml:space="preserve">LOT 2 DISTRICT LOT 6978 GROUP 1 NEW WESTMINSTER DISTRICT PLAN EPP92750 </t>
  </si>
  <si>
    <t xml:space="preserve">030894611</t>
  </si>
  <si>
    <t xml:space="preserve">LOT 1 DISTRICT LOT 6978 GROUP 1 NEW WESTMINSTER DISTRICT PLAN EPP92750 </t>
  </si>
  <si>
    <t xml:space="preserve">006552030</t>
  </si>
  <si>
    <t xml:space="preserve">LOT 15 BLOCK A DISTRICT LOT 1545 PLAN 13739</t>
  </si>
  <si>
    <t xml:space="preserve">008720070</t>
  </si>
  <si>
    <t xml:space="preserve">LOT 1 OF LOT 3 BLOCK A DISTRICT LOT 492 PLAN 13280</t>
  </si>
  <si>
    <t xml:space="preserve">008893535</t>
  </si>
  <si>
    <t xml:space="preserve">LOT 8 OF LOT 3 BLOCK A DISTRICT LOT 492 PLAN 12397</t>
  </si>
  <si>
    <t xml:space="preserve">008893659</t>
  </si>
  <si>
    <t xml:space="preserve">LOT 11 OF LOT 3 BLOCK A DISTRICT LOT 492 PLAN 12397</t>
  </si>
  <si>
    <t xml:space="preserve">030070562</t>
  </si>
  <si>
    <t xml:space="preserve">LOT 2 BLOCK 17 DISTRICT LOT 1552 NEW WESTMINSTER DISTRICT PLAN EPP28173</t>
  </si>
  <si>
    <t xml:space="preserve">018075916</t>
  </si>
  <si>
    <t xml:space="preserve">LOT B BLOCK 15 AND 16 DISTRICT LOT 1552 PLAN LMP8436</t>
  </si>
  <si>
    <t xml:space="preserve">018369162</t>
  </si>
  <si>
    <t xml:space="preserve">LOT A BLOCK 15 AND 16 DISTRICT LOT 1552 PLAN LMP11429</t>
  </si>
  <si>
    <t xml:space="preserve">009952730</t>
  </si>
  <si>
    <t xml:space="preserve">LOT 6 BLOCK 1 DISTRICT LOT 2958 PLAN 8729</t>
  </si>
  <si>
    <t xml:space="preserve">010233890</t>
  </si>
  <si>
    <t xml:space="preserve">LOT 3 BLOCK 1 DISTRICT LOT 2958 PLAN 8111</t>
  </si>
  <si>
    <t xml:space="preserve">010233903</t>
  </si>
  <si>
    <t xml:space="preserve">LOT 4 BLOCK 1 DISTRICT LOT 2958 PLAN 8111</t>
  </si>
  <si>
    <t xml:space="preserve">002586665</t>
  </si>
  <si>
    <t xml:space="preserve">STRATA LOT 3 DISTRICT LOT 2619 STRATA PLAN VR644 TOGETHER WITH AN INTEREST IN THE COMMON PROPERTY IN PROPORTION TO THE UNIT ENTITLEMENT OF THE STRATA LOT AS SHOWN ON FORM 1</t>
  </si>
  <si>
    <t xml:space="preserve">010233938</t>
  </si>
  <si>
    <t xml:space="preserve">LOT 5 BLOCK 1 DISTRICT LOT 2958 PLAN 8111</t>
  </si>
  <si>
    <t xml:space="preserve">005518075</t>
  </si>
  <si>
    <t xml:space="preserve">STRATA LOT 2 DISTRICT LOT 2619 STRATA PLAN VR. 644 TOGETHER WITH AN INTEREST IN THE COMMON PROPERTY IN PROPORTION TO THE UNIT ENTITLEMENT OF THE STRATA LOT AS SHOWN ON FORM 1.</t>
  </si>
  <si>
    <t xml:space="preserve">007894848</t>
  </si>
  <si>
    <t xml:space="preserve">LOT 7 DISTRICT LOT 2619 PLAN 14205</t>
  </si>
  <si>
    <t xml:space="preserve">007894856</t>
  </si>
  <si>
    <t xml:space="preserve">LOT 8 DISTRICT LOT 2619 PLAN 14205</t>
  </si>
  <si>
    <t xml:space="preserve">006354394</t>
  </si>
  <si>
    <t xml:space="preserve">LOT 9 DISTRICT LOT 2619 PLAN 14205</t>
  </si>
  <si>
    <t xml:space="preserve">009463496</t>
  </si>
  <si>
    <t xml:space="preserve">AMENDED LOT 4 (SEE C27672L) BLOCK 4 DISTRICT LOT 1347 PLAN 9853</t>
  </si>
  <si>
    <t xml:space="preserve">009949933</t>
  </si>
  <si>
    <t xml:space="preserve">LOT 2 BLOCK 2 DISTRICT LOT 2958 PLAN 8719</t>
  </si>
  <si>
    <t xml:space="preserve">009949992</t>
  </si>
  <si>
    <t xml:space="preserve">LOT 3 BLOCK 2 DISTRICT LOT 2958 PLAN 8719</t>
  </si>
  <si>
    <t xml:space="preserve">028058232</t>
  </si>
  <si>
    <t xml:space="preserve">LOT A BLOCK 2 DISTRICT LOT 2958 GROUP 1 NEW WESTMINSTER DISTRICT PLAN BCP42625</t>
  </si>
  <si>
    <t xml:space="preserve">010395598</t>
  </si>
  <si>
    <t xml:space="preserve">LOT 4 DISTRICT LOT 1552 PLAN 7650</t>
  </si>
  <si>
    <t xml:space="preserve">010395601</t>
  </si>
  <si>
    <t xml:space="preserve">LOT A (EXPLANATORY PLAN 5699) OF LOT 5 DISTRICT LOT 1552 PLAN 7650</t>
  </si>
  <si>
    <t xml:space="preserve">008340722</t>
  </si>
  <si>
    <t xml:space="preserve">LOT 53 BLOCK A DISTRICT LOT 3042 PLAN 12504</t>
  </si>
  <si>
    <t xml:space="preserve">006305695</t>
  </si>
  <si>
    <t xml:space="preserve">LOT 55 BLOCK A DISTRICT LOT 3042 PLAN 12504</t>
  </si>
  <si>
    <t xml:space="preserve">009076531</t>
  </si>
  <si>
    <t xml:space="preserve">LOT 3 BLOCK 5 DISTRICT LOT 490 PLAN 11393</t>
  </si>
  <si>
    <t xml:space="preserve">008769508</t>
  </si>
  <si>
    <t xml:space="preserve">LOT 1 BLOCK 4 DISTRICT LOT 490 PLAN 12878</t>
  </si>
  <si>
    <t xml:space="preserve">008040419</t>
  </si>
  <si>
    <t xml:space="preserve">LOT 114 BLOCKS B, E AND F DISTRICT LOT 492 PLAN 13685</t>
  </si>
  <si>
    <t xml:space="preserve">008040362</t>
  </si>
  <si>
    <t xml:space="preserve">LOT 110 BLOCKS B, E AND F DISTRICT LOT 492 PLAN 13685</t>
  </si>
  <si>
    <t xml:space="preserve">003844811</t>
  </si>
  <si>
    <t xml:space="preserve">LOT 111 BLOCKS B, E AND F DISTRICT LOT 492 PLAN 13685</t>
  </si>
  <si>
    <t xml:space="preserve">007262752</t>
  </si>
  <si>
    <t xml:space="preserve">LOT O BLOCKS B,E AND F DISTRICT LOT 492 PLAN 17703</t>
  </si>
  <si>
    <t xml:space="preserve">008040427</t>
  </si>
  <si>
    <t xml:space="preserve">LOT 115 BLOCKS B, E AND F DISTRICT LOT 492 PLAN 13685</t>
  </si>
  <si>
    <t xml:space="preserve">002971615</t>
  </si>
  <si>
    <t xml:space="preserve">LOT 146 BLOCKS B E AND F DISTRICT LOT 492 PLAN 18676</t>
  </si>
  <si>
    <t xml:space="preserve">004819349</t>
  </si>
  <si>
    <t xml:space="preserve">LOT 113 BLOCKS B, E AND F DISTRICT LOT 492 PLAN 13685</t>
  </si>
  <si>
    <t xml:space="preserve">008040389</t>
  </si>
  <si>
    <t xml:space="preserve">LOT 112 BLOCKS B, E AND F DISTRICT LOT 492 PLAN 13685</t>
  </si>
  <si>
    <t xml:space="preserve">007262744</t>
  </si>
  <si>
    <t xml:space="preserve">LOT N BLOCKS B,E AND F DISTRICT LOT 492 PLAN 17703</t>
  </si>
  <si>
    <t xml:space="preserve">026873818</t>
  </si>
  <si>
    <t xml:space="preserve">LOT A DISTRICT LOTS 6014 AND 6015 GROUP 1 NEW WESTMINSTER DISTRICT PLAN BCP27043</t>
  </si>
  <si>
    <t xml:space="preserve">011641584</t>
  </si>
  <si>
    <t xml:space="preserve">LOT A (EXPLANATORY PLAN 5506) BLOCK 14 DISTRICT LOT 1552 PLAN 4330</t>
  </si>
  <si>
    <t xml:space="preserve">008885991</t>
  </si>
  <si>
    <t xml:space="preserve">LOT 17 DISTRICT LOTS 1552 AND 2260 PLAN 21475</t>
  </si>
  <si>
    <t xml:space="preserve">026257734</t>
  </si>
  <si>
    <t xml:space="preserve">LOT 6 DISTRICT LOT 1545 GROUP 1 NEW WESTMINSTER DISTRICT PLAN BCP16959</t>
  </si>
  <si>
    <t xml:space="preserve">008509441</t>
  </si>
  <si>
    <t xml:space="preserve">LOT 2  BLOCK C  DISTRICT LOT 1545  PLAN 13739</t>
  </si>
  <si>
    <t xml:space="preserve">026257742</t>
  </si>
  <si>
    <t xml:space="preserve">LOT 7 DISTRICT LOT 1545 GROUP 1 NEW WESTMINSTER DISTRICT PLAN BCP16959</t>
  </si>
  <si>
    <t xml:space="preserve">018843271</t>
  </si>
  <si>
    <t xml:space="preserve">LOT G DISTRICT LOT 1545 PLAN LMP17640</t>
  </si>
  <si>
    <t xml:space="preserve">026257726</t>
  </si>
  <si>
    <t xml:space="preserve">LOT 5 DISTRICT LOT 1545 GROUP 1 NEW WESTMINSTER DISTRICT PLAN BCP16959</t>
  </si>
  <si>
    <t xml:space="preserve">018822801</t>
  </si>
  <si>
    <t xml:space="preserve">LOT 7 DISTRICT LOT 489 PLAN LMP16629</t>
  </si>
  <si>
    <t xml:space="preserve">018272347</t>
  </si>
  <si>
    <t xml:space="preserve">LOT F DISTRICT LOT 1347 PLAN LMP10622</t>
  </si>
  <si>
    <t xml:space="preserve">018272339</t>
  </si>
  <si>
    <t xml:space="preserve">LOT E DISTRICT LOT 1347 PLAN LMP10622</t>
  </si>
  <si>
    <t xml:space="preserve">018272304</t>
  </si>
  <si>
    <t xml:space="preserve">LOT B DISTRICT LOT 1347 PLAN LMP10622</t>
  </si>
  <si>
    <t xml:space="preserve">018272291</t>
  </si>
  <si>
    <t xml:space="preserve">LOT A DISTRICT LOT 1347 PLAN LMP10622</t>
  </si>
  <si>
    <t xml:space="preserve">018272321</t>
  </si>
  <si>
    <t xml:space="preserve">LOT D DISTRICT LOT 1347 PLAN LMP10622</t>
  </si>
  <si>
    <t xml:space="preserve">009163409</t>
  </si>
  <si>
    <t xml:space="preserve">LOT 33 BLOCK 3 DISTRICT LOT 490 PLAN 11088</t>
  </si>
  <si>
    <t xml:space="preserve">009163336</t>
  </si>
  <si>
    <t xml:space="preserve">LOT 23 BLOCK 3 DISTRICT LOT 490 PLAN 11088</t>
  </si>
  <si>
    <t xml:space="preserve">009163263</t>
  </si>
  <si>
    <t xml:space="preserve">LOT 17 BLOCK 3 DISTRICT LOT 490 PLAN 11088</t>
  </si>
  <si>
    <t xml:space="preserve">009163310</t>
  </si>
  <si>
    <t xml:space="preserve">LOT 21 BLOCK 3 DISTRICT LOT 490 PLAN 11088</t>
  </si>
  <si>
    <t xml:space="preserve">006590730</t>
  </si>
  <si>
    <t xml:space="preserve">AMENDED LOT 27 (EXPLANATORY PLAN 9285) BLOCK 3 DISTRICT LOT 490 PLAN 11088</t>
  </si>
  <si>
    <t xml:space="preserve">009087079</t>
  </si>
  <si>
    <t xml:space="preserve">LOT D BLOCK 3 DISTRICT LOTS 490 AND 6998 PLAN 11667</t>
  </si>
  <si>
    <t xml:space="preserve">009087044</t>
  </si>
  <si>
    <t xml:space="preserve">LOT C BLOCK 3 DISTRICT LOTS 490 AND 6998 PLAN 11667</t>
  </si>
  <si>
    <t xml:space="preserve">009163204</t>
  </si>
  <si>
    <t xml:space="preserve">LOT 11 BLOCK 3 DISTRICT LOT 490 PLAN 11088</t>
  </si>
  <si>
    <t xml:space="preserve">004963962</t>
  </si>
  <si>
    <t xml:space="preserve">LOT 29 BLOCK 3 DISTRICT LOT 490 PLAN 11088</t>
  </si>
  <si>
    <t xml:space="preserve">009163344</t>
  </si>
  <si>
    <t xml:space="preserve">LOT 24 BLOCK 3 DISTRICT LOT 490 PLAN 11088</t>
  </si>
  <si>
    <t xml:space="preserve">009162666</t>
  </si>
  <si>
    <t xml:space="preserve">LOT 2 BLOCK 3 DISTRICT LOT 490 PLAN 11088</t>
  </si>
  <si>
    <t xml:space="preserve">004912641</t>
  </si>
  <si>
    <t xml:space="preserve">LOT 10 BLOCK 3 DISTRICT LOT 490 PLAN 11088</t>
  </si>
  <si>
    <t xml:space="preserve">003184757</t>
  </si>
  <si>
    <t xml:space="preserve">LOT 14 BLOCK 3 DISTRICT LOT 490 PLAN 11088</t>
  </si>
  <si>
    <t xml:space="preserve">008235449</t>
  </si>
  <si>
    <t xml:space="preserve">LOT 8 BLOCK 3 DISTRICT LOT 490 PLAN 11088</t>
  </si>
  <si>
    <t xml:space="preserve">007038593</t>
  </si>
  <si>
    <t xml:space="preserve">LOT 35 BLOCK 3 DISTRICT LOT 490 PLAN 11088</t>
  </si>
  <si>
    <t xml:space="preserve">008643563</t>
  </si>
  <si>
    <t xml:space="preserve">LOT 13 BLOCK 3 DISTRICT LOT 490 PLAN 11088</t>
  </si>
  <si>
    <t xml:space="preserve">009163352</t>
  </si>
  <si>
    <t xml:space="preserve">LOT 25 BLOCK 3 DISTRICT LOT 490 PLAN 11088</t>
  </si>
  <si>
    <t xml:space="preserve">009163174</t>
  </si>
  <si>
    <t xml:space="preserve">LOT 5 BLOCK 3 DISTRICT LOT 490 PLAN 11088</t>
  </si>
  <si>
    <t xml:space="preserve">009163166</t>
  </si>
  <si>
    <t xml:space="preserve">LOT 4 BLOCK 3 DISTRICT LOT 490 PLAN 11088</t>
  </si>
  <si>
    <t xml:space="preserve">009163239</t>
  </si>
  <si>
    <t xml:space="preserve">LOT 15 BLOCK 3 DISTRICT LOT 490 PLAN 11088</t>
  </si>
  <si>
    <t xml:space="preserve">009163182</t>
  </si>
  <si>
    <t xml:space="preserve">LOT 7 BLOCK 3 DISTRICT LOT 490 PLAN 11088</t>
  </si>
  <si>
    <t xml:space="preserve">009163361</t>
  </si>
  <si>
    <t xml:space="preserve">LOT 26 BLOCK 3 DISTRICT LOT 490 PLAN 11088</t>
  </si>
  <si>
    <t xml:space="preserve">009163301</t>
  </si>
  <si>
    <t xml:space="preserve">LOT 20 BLOCK 3 DISTRICT LOT 490 PLAN 11088</t>
  </si>
  <si>
    <t xml:space="preserve">009163328</t>
  </si>
  <si>
    <t xml:space="preserve">LOT 22 BLOCK 3 DISTRICT LOT 490 PLAN 11088</t>
  </si>
  <si>
    <t xml:space="preserve">009163271</t>
  </si>
  <si>
    <t xml:space="preserve">LOT 18 BLOCK 3 DISTRICT LOT 490 PLAN 11088</t>
  </si>
  <si>
    <t xml:space="preserve">009163221</t>
  </si>
  <si>
    <t xml:space="preserve">LOT 12 BLOCK 3 DISTRICT LOT 490 PLAN 11088</t>
  </si>
  <si>
    <t xml:space="preserve">009163441</t>
  </si>
  <si>
    <t xml:space="preserve">AMENDED LOT 28 (EXPLANATORY PLAN 9285) BLOCK 3 DISTRICT LOT 490 PLAN 11088</t>
  </si>
  <si>
    <t xml:space="preserve">009163247</t>
  </si>
  <si>
    <t xml:space="preserve">LOT 16 BLOCK 3 DISTRICT LOT 490 PLAN 11088</t>
  </si>
  <si>
    <t xml:space="preserve">009163191</t>
  </si>
  <si>
    <t xml:space="preserve">LOT 9 BLOCK 3 DISTRICT LOT 490 PLAN 11088</t>
  </si>
  <si>
    <t xml:space="preserve">007707169</t>
  </si>
  <si>
    <t xml:space="preserve">LOT 6 BLOCK 3 DISTRICT LOT 490 PLAN 11088</t>
  </si>
  <si>
    <t xml:space="preserve">009162682</t>
  </si>
  <si>
    <t xml:space="preserve">LOT 3 BLOCK 3 DISTRICT LOT 490 PLAN 11088</t>
  </si>
  <si>
    <t xml:space="preserve">009163425</t>
  </si>
  <si>
    <t xml:space="preserve">LOT 36 BLOCK 3 DISTRICT LOT 490 PLAN 11088</t>
  </si>
  <si>
    <t xml:space="preserve">009076573</t>
  </si>
  <si>
    <t xml:space="preserve">LOT 7 BLOCK 5 DISTRICT LOT 490 PLAN 11393</t>
  </si>
  <si>
    <t xml:space="preserve">009076549</t>
  </si>
  <si>
    <t xml:space="preserve">LOT 5 BLOCK 5 DISTRICT LOT 490 PLAN 11393</t>
  </si>
  <si>
    <t xml:space="preserve">008843074</t>
  </si>
  <si>
    <t xml:space="preserve">LOT 4 BLOCK 5 DISTRICT LOT 490 PLAN 11393</t>
  </si>
  <si>
    <t xml:space="preserve">009076492</t>
  </si>
  <si>
    <t xml:space="preserve">LOT 1 BLOCK 5 DISTRICT LOT 490 PLAN 11393</t>
  </si>
  <si>
    <t xml:space="preserve">009076654</t>
  </si>
  <si>
    <t xml:space="preserve">LOT 11 BLOCK 5 DISTRICT LOT 490 PLAN 11393</t>
  </si>
  <si>
    <t xml:space="preserve">009076611</t>
  </si>
  <si>
    <t xml:space="preserve">LOT 9 BLOCK 5 DISTRICT LOT 490 PLAN 11393</t>
  </si>
  <si>
    <t xml:space="preserve">009076514</t>
  </si>
  <si>
    <t xml:space="preserve">LOT 2 BLOCK 5 DISTRICT LOT 490 PLAN 11393</t>
  </si>
  <si>
    <t xml:space="preserve">009087010</t>
  </si>
  <si>
    <t xml:space="preserve">LOT B BLOCK 3 DISTRICT LOTS 490 AND 6998 PLAN 11667</t>
  </si>
  <si>
    <t xml:space="preserve">009162658</t>
  </si>
  <si>
    <t xml:space="preserve">LOT 1 BLOCK 3 DISTRICT LOT 490 PLAN 11088</t>
  </si>
  <si>
    <t xml:space="preserve">009364013</t>
  </si>
  <si>
    <t xml:space="preserve">LOT 3 BLOCK C DISTRICT LOT 3042 PLAN 10585</t>
  </si>
  <si>
    <t xml:space="preserve">009365346</t>
  </si>
  <si>
    <t xml:space="preserve">LOT 26 BLOCK B DISTRICT LOT 3042 PLAN 10585</t>
  </si>
  <si>
    <t xml:space="preserve">009365265</t>
  </si>
  <si>
    <t xml:space="preserve">LOT 23 BLOCK B DISTRICT LOT 3042 PLAN 10585</t>
  </si>
  <si>
    <t xml:space="preserve">009431110</t>
  </si>
  <si>
    <t xml:space="preserve">LOT 10 BLOCK B DISTRICT LOT 3042 PLAN 10390</t>
  </si>
  <si>
    <t xml:space="preserve">009431071</t>
  </si>
  <si>
    <t xml:space="preserve">LOT 8 BLOCK B DISTRICT LOT 3042 PLAN 10390</t>
  </si>
  <si>
    <t xml:space="preserve">009365311</t>
  </si>
  <si>
    <t xml:space="preserve">LOT 25 BLOCK B DISTRICT LOT 3042 PLAN 10585</t>
  </si>
  <si>
    <t xml:space="preserve">009365281</t>
  </si>
  <si>
    <t xml:space="preserve">LOT 24 BLOCK B DISTRICT LOT 3042 PLAN 10585</t>
  </si>
  <si>
    <t xml:space="preserve">009365222</t>
  </si>
  <si>
    <t xml:space="preserve">LOT 22 BLOCK B DISTRICT LOT 3042 PLAN 10585</t>
  </si>
  <si>
    <t xml:space="preserve">009431012</t>
  </si>
  <si>
    <t xml:space="preserve">LOT 6 BLOCK B DISTRICT LOT 3042 PLAN 10390</t>
  </si>
  <si>
    <t xml:space="preserve">005768241</t>
  </si>
  <si>
    <t xml:space="preserve">LOT 4 BLOCK B DISTRICT LOT 3042 PLAN 10390</t>
  </si>
  <si>
    <t xml:space="preserve">009431098</t>
  </si>
  <si>
    <t xml:space="preserve">LOT 9 BLOCK B DISTRICT LOT 3042 PLAN 10390</t>
  </si>
  <si>
    <t xml:space="preserve">009430989</t>
  </si>
  <si>
    <t xml:space="preserve">LOT 5 BLOCK B DISTRICT LOT 3042 PLAN 10390</t>
  </si>
  <si>
    <t xml:space="preserve">009431047</t>
  </si>
  <si>
    <t xml:space="preserve">LOT 7 BLOCK B DISTRICT LOT 3042 PLAN 10390</t>
  </si>
  <si>
    <t xml:space="preserve">008501190</t>
  </si>
  <si>
    <t xml:space="preserve">LOT 34 BLOCK B DISTRICT LOT 3042 PLAN 13713</t>
  </si>
  <si>
    <t xml:space="preserve">009431152</t>
  </si>
  <si>
    <t xml:space="preserve">LOT 11 BLOCK B DISTRICT LOT 3042 PLAN 10390</t>
  </si>
  <si>
    <t xml:space="preserve">009234284</t>
  </si>
  <si>
    <t xml:space="preserve">LOT B BLOCK B DISTRICT LOT 3042 PLAN 10585</t>
  </si>
  <si>
    <t xml:space="preserve">009364722</t>
  </si>
  <si>
    <t xml:space="preserve">LOT 5 BLOCK C DISTRICT LOT 3042 PLAN 10585</t>
  </si>
  <si>
    <t xml:space="preserve">018058442</t>
  </si>
  <si>
    <t xml:space="preserve">LOT 37 BLOCK B DISTRICT LOT 3042 PLAN LMP7704</t>
  </si>
  <si>
    <t xml:space="preserve">018058434</t>
  </si>
  <si>
    <t xml:space="preserve">LOT 36 BLOCK B DISTRICT LOT 3042 PLAN LMP7704</t>
  </si>
  <si>
    <t xml:space="preserve">007171684</t>
  </si>
  <si>
    <t xml:space="preserve">LOT 12 BLOCK B DISTRICT LOT 3042 PLAN 10390</t>
  </si>
  <si>
    <t xml:space="preserve">009163387</t>
  </si>
  <si>
    <t xml:space="preserve">LOT 31 BLOCK 3 DISTRICT LOT 490 PLAN 11088</t>
  </si>
  <si>
    <t xml:space="preserve">009163379</t>
  </si>
  <si>
    <t xml:space="preserve">LOT 30 BLOCK 3 DISTRICT LOT 490 PLAN 11088</t>
  </si>
  <si>
    <t xml:space="preserve">009163395</t>
  </si>
  <si>
    <t xml:space="preserve">LOT 32 BLOCK 3 DISTRICT LOT 490 PLAN 11088</t>
  </si>
  <si>
    <t xml:space="preserve">016190726</t>
  </si>
  <si>
    <t xml:space="preserve">LOT D BLOCK C DISTRICT LOT 3042 PLAN 22915</t>
  </si>
  <si>
    <t xml:space="preserve">008782849</t>
  </si>
  <si>
    <t xml:space="preserve">LOT B BLOCK C DISTRICT LOT 3042 PLAN 12816</t>
  </si>
  <si>
    <t xml:space="preserve">009475273</t>
  </si>
  <si>
    <t xml:space="preserve">LOT 7 BLOCK A DISTRICT LOT 3042 PLAN 10353</t>
  </si>
  <si>
    <t xml:space="preserve">008874891</t>
  </si>
  <si>
    <t xml:space="preserve">LOT 56 BLOCK A DISTRICT LOT 3042 PLAN 12504</t>
  </si>
  <si>
    <t xml:space="preserve">009364811</t>
  </si>
  <si>
    <t xml:space="preserve">LOT 7 BLOCK C DISTRICT LOT 3042 PLAN 10585</t>
  </si>
  <si>
    <t xml:space="preserve">016213939</t>
  </si>
  <si>
    <t xml:space="preserve">LOT 9 BLOCK C DISTRICT LOT 3042 PLAN 11474</t>
  </si>
  <si>
    <t xml:space="preserve">008589798</t>
  </si>
  <si>
    <t xml:space="preserve">LOT 10 BLOCK C DISTRICT LOT 3042 PLAN 13482</t>
  </si>
  <si>
    <t xml:space="preserve">016253957</t>
  </si>
  <si>
    <t xml:space="preserve">LOT E BLOCK C DISTRICT LOT 3042 PLAN 22919</t>
  </si>
  <si>
    <t xml:space="preserve">007956886</t>
  </si>
  <si>
    <t xml:space="preserve">LOT C BLOCK C DISTRICT LOT 3042 PLAN 14029</t>
  </si>
  <si>
    <t xml:space="preserve">008499837</t>
  </si>
  <si>
    <t xml:space="preserve">LOT 13 BLOCK C DISTRICT LOT 3042 PLAN 13712</t>
  </si>
  <si>
    <t xml:space="preserve">008008141</t>
  </si>
  <si>
    <t xml:space="preserve">LOT 41 BLOCK C DISTRICT LOT 1426 PLAN 13841</t>
  </si>
  <si>
    <t xml:space="preserve">008066965</t>
  </si>
  <si>
    <t xml:space="preserve">LOT 43 BLOCK C DISTRICT LOT 1426 PLAN 13841</t>
  </si>
  <si>
    <t xml:space="preserve">030346452</t>
  </si>
  <si>
    <t xml:space="preserve">LOT 1 BLOCK C DISTRICT LOTS 1426 AND 1547 GROUP 1 NEW WESTMINSTER DISTRICT PLAN EPP73590</t>
  </si>
  <si>
    <t xml:space="preserve">005082391</t>
  </si>
  <si>
    <t xml:space="preserve">LOT 52 BLOCK C DISTRICT LOT 1426 PLAN 18459</t>
  </si>
  <si>
    <t xml:space="preserve">008008167</t>
  </si>
  <si>
    <t xml:space="preserve">LOT 42 BLOCK C DISTRICT LOT 1426 PLAN 13841</t>
  </si>
  <si>
    <t xml:space="preserve">007201958</t>
  </si>
  <si>
    <t xml:space="preserve">LOT 37 BLOCK C DISTRICT LOT 1426 PLAN 13841</t>
  </si>
  <si>
    <t xml:space="preserve">008008108</t>
  </si>
  <si>
    <t xml:space="preserve">LOT 39 BLOCK C DISTRICT LOT 1426 PLAN 13841</t>
  </si>
  <si>
    <t xml:space="preserve">008008124</t>
  </si>
  <si>
    <t xml:space="preserve">LOT 40 BLOCK C DISTRICT LOT 1426 PLAN 13841</t>
  </si>
  <si>
    <t xml:space="preserve">005096855</t>
  </si>
  <si>
    <t xml:space="preserve">LOT 38 BLOCK C DISTRICT LOT 1426 PLAN 13841</t>
  </si>
  <si>
    <t xml:space="preserve">008008191</t>
  </si>
  <si>
    <t xml:space="preserve">LOT 44 BLOCK C DISTRICT LOT 1426 PLAN 13841</t>
  </si>
  <si>
    <t xml:space="preserve">008722081</t>
  </si>
  <si>
    <t xml:space="preserve">LOT 5 BLOCK A DISTRICT LOT 492 PLAN 13181</t>
  </si>
  <si>
    <t xml:space="preserve">008722099</t>
  </si>
  <si>
    <t xml:space="preserve">LOT 6 BLOCK A DISTRICT LOT 492 PLAN 13181</t>
  </si>
  <si>
    <t xml:space="preserve">009011684</t>
  </si>
  <si>
    <t xml:space="preserve">LOT B BLOCK A DISTRICT LOT 492 PLAN 11630</t>
  </si>
  <si>
    <t xml:space="preserve">006340288</t>
  </si>
  <si>
    <t xml:space="preserve">STRATA LOT 1 DISTRICT LOT 492 STRATA PLAN VR. 1052, TOGETHER WITH AN INTEREST IN THE COMMON PROPERTY IN PROPORTION TO THE UNIT ENTITLEMENT OF THE STRATA LOT AS SHOWN ON FORM 1.</t>
  </si>
  <si>
    <t xml:space="preserve">018921311</t>
  </si>
  <si>
    <t xml:space="preserve">LOT 2 BLOCK A DISTRICT LOT 492 GROUP 1 NEW WESTMINSTER DISTRICT PLAN LMP18431</t>
  </si>
  <si>
    <t xml:space="preserve">006340318</t>
  </si>
  <si>
    <t xml:space="preserve">STRATA LOT 2 DISTRICT LOT 492 STRATA PLAN VR. 1052, TOGETHER WITH AN INTEREST IN THE COMMON PROPERTY IN PROPORTION TO THE UNIT ENTITLEMENT OF THE STRATA LOT AS SHOWN ON FORM 1.</t>
  </si>
  <si>
    <t xml:space="preserve">018921302</t>
  </si>
  <si>
    <t xml:space="preserve">LOT 1 BLOCK A DISTRICT LOT 492 GROUP 1 NEW WESTMINSTER DISTRICT PLAN LMP18431</t>
  </si>
  <si>
    <t xml:space="preserve">008722064</t>
  </si>
  <si>
    <t xml:space="preserve">LOT 4 BLOCK A DISTRICT LOT 492 PLAN 13181</t>
  </si>
  <si>
    <t xml:space="preserve">023527064</t>
  </si>
  <si>
    <t xml:space="preserve">LOT C BLOCK B DISTRICT LOT 492 GROUP 1 NEW WESTMINSTER DISTRICT PLAN LMP29403</t>
  </si>
  <si>
    <t xml:space="preserve">011517174</t>
  </si>
  <si>
    <t xml:space="preserve">STRATA LOT 2 DISTRICT LOT 492 STRATA PLAN VR. 2166 TOGETHER WITH AN INTEREST IN THE COMMON PROPERTY IN PROPORTION TO THE UNIT ENTITLEMENT OF THE STRATA LOT AS SHOWN ON FORM 1.</t>
  </si>
  <si>
    <t xml:space="preserve">031228160</t>
  </si>
  <si>
    <t xml:space="preserve">LOT B DISTRICT LOT 3042 GROUP 1 NEW WESTMINSTER DISTRICT PLAN EPP61561</t>
  </si>
  <si>
    <t xml:space="preserve">031228151</t>
  </si>
  <si>
    <t xml:space="preserve">LOT A DISTRICT LOT 3042 GROUP 1 NEW WESTMINSTER DISTRICT PLAN EPP61561</t>
  </si>
  <si>
    <t xml:space="preserve">007801190</t>
  </si>
  <si>
    <t xml:space="preserve">LOT 59 BLOCK A DISTRICT LOT 3042 PLAN 14489</t>
  </si>
  <si>
    <t xml:space="preserve">008176728</t>
  </si>
  <si>
    <t xml:space="preserve">LOT E DISTRICT LOT 494 PLAN 13248</t>
  </si>
  <si>
    <t xml:space="preserve">009206591</t>
  </si>
  <si>
    <t xml:space="preserve">LOT 3 DISTRICT LOT 494 PLAN 11316</t>
  </si>
  <si>
    <t xml:space="preserve">007282800</t>
  </si>
  <si>
    <t xml:space="preserve">LOT 5 BLOCK A DISTRICT LOT 494 PLAN 17400</t>
  </si>
  <si>
    <t xml:space="preserve">009206639</t>
  </si>
  <si>
    <t xml:space="preserve">LOT 4 DISTRICT LOT 494 PLAN 11316</t>
  </si>
  <si>
    <t xml:space="preserve">003111237</t>
  </si>
  <si>
    <t xml:space="preserve">LOT F DISTRICT LOT 494 PLAN 13248</t>
  </si>
  <si>
    <t xml:space="preserve">008871418</t>
  </si>
  <si>
    <t xml:space="preserve">LOT H OF LOT 1 BLOCK A DISTRICT LOT 492 PLAN 12618</t>
  </si>
  <si>
    <t xml:space="preserve">011966874</t>
  </si>
  <si>
    <t xml:space="preserve">LOT 10 BLOCK 2 OF BLOCK A DISTRICT LOT 1553 PLAN 4042</t>
  </si>
  <si>
    <t xml:space="preserve">011966955</t>
  </si>
  <si>
    <t xml:space="preserve">LOT 20 BLOCK 2 OF BLOCK A DISTRICT LOT 1553 PLAN 4042</t>
  </si>
  <si>
    <t xml:space="preserve">011966963</t>
  </si>
  <si>
    <t xml:space="preserve">LOT 22 BLOCK 2 OF BLOCK A DISTRICT LOT 1553 PLAN 4042</t>
  </si>
  <si>
    <t xml:space="preserve">011966831</t>
  </si>
  <si>
    <t xml:space="preserve">LOT 7 BLOCK 2 OF BLOCK A DISTRICT LOT 1553 PLAN 4042</t>
  </si>
  <si>
    <t xml:space="preserve">011966939</t>
  </si>
  <si>
    <t xml:space="preserve">LOT 21 BLOCK 2 OF BLOCK A DISTRICT LOT 1553 PLAN 4042</t>
  </si>
  <si>
    <t xml:space="preserve">011966858</t>
  </si>
  <si>
    <t xml:space="preserve">LOT 8 BLOCK 2 OF BLOCK A DISTRICT LOT 1553 PLAN 4042</t>
  </si>
  <si>
    <t xml:space="preserve">011967021</t>
  </si>
  <si>
    <t xml:space="preserve">LOT 25 BLOCK 2 OF BLOCK A DISTRICT LOT 1553 PLAN 4042</t>
  </si>
  <si>
    <t xml:space="preserve">011966904</t>
  </si>
  <si>
    <t xml:space="preserve">LOT 12 BLOCK 2 OF BLOCK A DISTRICT LOT 1553 PLAN 4042</t>
  </si>
  <si>
    <t xml:space="preserve">011966947</t>
  </si>
  <si>
    <t xml:space="preserve">LOT 13 BLOCK 2 OF BLOCK A DISTRICT LOT 1553 PLAN 4042</t>
  </si>
  <si>
    <t xml:space="preserve">011966891</t>
  </si>
  <si>
    <t xml:space="preserve">LOT 11 BLOCK 2 OF BLOCK A DISTRICT LOT 1553 PLAN 4042</t>
  </si>
  <si>
    <t xml:space="preserve">004174607</t>
  </si>
  <si>
    <t xml:space="preserve">LOT 6 BLOCK 2 OF BLOCK A DISTRICT LOT 1553 PLAN 4042</t>
  </si>
  <si>
    <t xml:space="preserve">011966840</t>
  </si>
  <si>
    <t xml:space="preserve">LOT 26 BLOCK 2 OF BLOCK A DISTRICT LOT 1553 PLAN 4042</t>
  </si>
  <si>
    <t xml:space="preserve">011967013</t>
  </si>
  <si>
    <t xml:space="preserve">LOT 24 BLOCK 2 OF BLOCK A DISTRICT LOT 1553 PLAN 4042</t>
  </si>
  <si>
    <t xml:space="preserve">011966980</t>
  </si>
  <si>
    <t xml:space="preserve">LOT 23 BLOCK 2 OF BLOCK A DISTRICT LOT 1553 PLAN 4042</t>
  </si>
  <si>
    <t xml:space="preserve">004174631</t>
  </si>
  <si>
    <t xml:space="preserve">LOT 27 BLOCK 2 OF BLOCK A DISTRICT LOT 1553 PLAN 4042</t>
  </si>
  <si>
    <t xml:space="preserve">003141535</t>
  </si>
  <si>
    <t xml:space="preserve">LOT 14 BLOCK 2 OF BLOCK A DISTRICT LOT 1553 PLAN 4042</t>
  </si>
  <si>
    <t xml:space="preserve">003141543</t>
  </si>
  <si>
    <t xml:space="preserve">LOT 19 BLOCK 2 OF BLOCK A DISTRICT LOT 1553 PLAN 4042</t>
  </si>
  <si>
    <t xml:space="preserve">011966866</t>
  </si>
  <si>
    <t xml:space="preserve">LOT 9 BLOCK 2 OF BLOCK A DISTRICT LOT 1553 PLAN 4042</t>
  </si>
  <si>
    <t xml:space="preserve">005381398</t>
  </si>
  <si>
    <t xml:space="preserve">LOT A BLOCK 6 DISTRICT LOTS 490 AND 1628 PLAN 17189</t>
  </si>
  <si>
    <t xml:space="preserve">031156436</t>
  </si>
  <si>
    <t xml:space="preserve">PARCEL A  (BEING A CONSOLIDATION OF LOTS 1 AND 2, SEE CA8325708)  DISTRICT LOTS 490 AND 1628  GROUP 1  NEW WESTMINSTER DISTRICT  PLAN BCP49988</t>
  </si>
  <si>
    <t xml:space="preserve">017796148</t>
  </si>
  <si>
    <t xml:space="preserve">LOT D BLOCK 6 DISTRICT LOT 490 PLAN LMP4606</t>
  </si>
  <si>
    <t xml:space="preserve">008986746</t>
  </si>
  <si>
    <t xml:space="preserve">LOT A BLOCK 6 DISTRICT LOT 490 PLAN 11946</t>
  </si>
  <si>
    <t xml:space="preserve">009079939</t>
  </si>
  <si>
    <t xml:space="preserve">LOT 46 BLOCK 6 DISTRICT LOT 490 PLAN 11393</t>
  </si>
  <si>
    <t xml:space="preserve">004244613</t>
  </si>
  <si>
    <t xml:space="preserve">LOT 43 BLOCK 6 DISTRICT LOT 490 PLAN 11393</t>
  </si>
  <si>
    <t xml:space="preserve">009080627</t>
  </si>
  <si>
    <t xml:space="preserve">AMENDED LOT 13 (SEE 540288L) BLOCK 6 DISTRICT LOT 490 PLAN 11393</t>
  </si>
  <si>
    <t xml:space="preserve">009079645</t>
  </si>
  <si>
    <t xml:space="preserve">LOT 32 BLOCK 6 DISTRICT LOT 490 PLAN 11393</t>
  </si>
  <si>
    <t xml:space="preserve">009080392</t>
  </si>
  <si>
    <t xml:space="preserve">LOT 64 BLOCK 6 DISTRICT LOT 490 PLAN 11393</t>
  </si>
  <si>
    <t xml:space="preserve">002556855</t>
  </si>
  <si>
    <t xml:space="preserve">LOT 7 BLOCK 6 DISTRICT LOT 490 PLAN 11393</t>
  </si>
  <si>
    <t xml:space="preserve">009080155</t>
  </si>
  <si>
    <t xml:space="preserve">LOT 55 BLOCK 6 DISTRICT LOT 490 PLAN 11393</t>
  </si>
  <si>
    <t xml:space="preserve">009079262</t>
  </si>
  <si>
    <t xml:space="preserve">LOT 22 BLOCK 6 DISTRICT LOT 490 PLAN 11393</t>
  </si>
  <si>
    <t xml:space="preserve">009079289</t>
  </si>
  <si>
    <t xml:space="preserve">LOT 23 BLOCK 6 DISTRICT LOT 490 PLAN 11393</t>
  </si>
  <si>
    <t xml:space="preserve">009080295</t>
  </si>
  <si>
    <t xml:space="preserve">LOT 61 BLOCK 6 DISTRICT LOT 490 PLAN 11393</t>
  </si>
  <si>
    <t xml:space="preserve">009079114</t>
  </si>
  <si>
    <t xml:space="preserve">LOT 16 BLOCK 6 DISTRICT LOT 490 PLAN 11393</t>
  </si>
  <si>
    <t xml:space="preserve">009079327</t>
  </si>
  <si>
    <t xml:space="preserve">LOT 27 BLOCK 6 DISTRICT LOT 490 PLAN 11393</t>
  </si>
  <si>
    <t xml:space="preserve">009079131</t>
  </si>
  <si>
    <t xml:space="preserve">LOT 17 BLOCK 6 DISTRICT LOT 490 PLAN 11393</t>
  </si>
  <si>
    <t xml:space="preserve">009080104</t>
  </si>
  <si>
    <t xml:space="preserve">LOT 54 BLOCK 6 DISTRICT LOT 490 PLAN 11393</t>
  </si>
  <si>
    <t xml:space="preserve">009079581</t>
  </si>
  <si>
    <t xml:space="preserve">LOT 31 BLOCK 6 DISTRICT LOT 490 PLAN 11393</t>
  </si>
  <si>
    <t xml:space="preserve">009078819</t>
  </si>
  <si>
    <t xml:space="preserve">LOT 4 BLOCK 6 DISTRICT LOT 490 PLAN 11393</t>
  </si>
  <si>
    <t xml:space="preserve">009079670</t>
  </si>
  <si>
    <t xml:space="preserve">LOT 34 BLOCK 6 DISTRICT LOT 490 PLAN 11393</t>
  </si>
  <si>
    <t xml:space="preserve">009079882</t>
  </si>
  <si>
    <t xml:space="preserve">LOT 42 BLOCK 6 DISTRICT LOT 490 PLAN 11393</t>
  </si>
  <si>
    <t xml:space="preserve">004595165</t>
  </si>
  <si>
    <t xml:space="preserve">LOT 33 BLOCK 6 DISTRICT LOT 490 PLAN 11393</t>
  </si>
  <si>
    <t xml:space="preserve">009079076</t>
  </si>
  <si>
    <t xml:space="preserve">LOT 14 BLOCK 6 DISTRICT LOT 490 PLAN 11393</t>
  </si>
  <si>
    <t xml:space="preserve">009079343</t>
  </si>
  <si>
    <t xml:space="preserve">LOT 28 BLOCK 6 DISTRICT LOT 490 PLAN 11393</t>
  </si>
  <si>
    <t xml:space="preserve">009080252</t>
  </si>
  <si>
    <t xml:space="preserve">LOT 59 BLOCK 6 DISTRICT LOT 490 PLAN 11393</t>
  </si>
  <si>
    <t xml:space="preserve">009079459</t>
  </si>
  <si>
    <t xml:space="preserve">LOT 30 BLOCK 6 DISTRICT LOT 490 PLAN 11393</t>
  </si>
  <si>
    <t xml:space="preserve">009079858</t>
  </si>
  <si>
    <t xml:space="preserve">LOT 39 BLOCK 6 DISTRICT LOT 490 PLAN 11393</t>
  </si>
  <si>
    <t xml:space="preserve">009078835</t>
  </si>
  <si>
    <t xml:space="preserve">LOT 5 BLOCK 6 DISTRICT LOT 490 PLAN 11393</t>
  </si>
  <si>
    <t xml:space="preserve">009079297</t>
  </si>
  <si>
    <t xml:space="preserve">LOT 24 BLOCK 6 DISTRICT LOT 490 PLAN 11393</t>
  </si>
  <si>
    <t xml:space="preserve">009079106</t>
  </si>
  <si>
    <t xml:space="preserve">LOT 15 BLOCK 6 DISTRICT LOT 490 PLAN 11393</t>
  </si>
  <si>
    <t xml:space="preserve">009080422</t>
  </si>
  <si>
    <t xml:space="preserve">LOT 65 BLOCK 6 DISTRICT LOT 490 PLAN 11393</t>
  </si>
  <si>
    <t xml:space="preserve">009079211</t>
  </si>
  <si>
    <t xml:space="preserve">LOT 20 BLOCK 6 DISTRICT LOT 490 PLAN 11393</t>
  </si>
  <si>
    <t xml:space="preserve">009078746</t>
  </si>
  <si>
    <t xml:space="preserve">LOT 2 BLOCK 6 DISTRICT LOT 490 PLAN 11393</t>
  </si>
  <si>
    <t xml:space="preserve">009078860</t>
  </si>
  <si>
    <t xml:space="preserve">LOT 6 BLOCK 6 DISTRICT LOT 490 PLAN 11393</t>
  </si>
  <si>
    <t xml:space="preserve">009079912</t>
  </si>
  <si>
    <t xml:space="preserve">LOT 45 BLOCK 6 DISTRICT LOT 490 PLAN 11393</t>
  </si>
  <si>
    <t xml:space="preserve">009080597</t>
  </si>
  <si>
    <t xml:space="preserve">AMENDED LOT 10 (EXPLANATORY PLAN 7922) BLOCK 6 DISTRICT LOT 490 PLAN 11393</t>
  </si>
  <si>
    <t xml:space="preserve">009079394</t>
  </si>
  <si>
    <t xml:space="preserve">LOT 29 BLOCK 6 DISTRICT LOT 490 PLAN 11393</t>
  </si>
  <si>
    <t xml:space="preserve">009078894</t>
  </si>
  <si>
    <t xml:space="preserve">LOT 8 BLOCK 6 DISTRICT LOT 490 PLAN 11393</t>
  </si>
  <si>
    <t xml:space="preserve">006703216</t>
  </si>
  <si>
    <t xml:space="preserve">LOT 50 BLOCK 6 DISTRICT LOT 490 PLAN 11393</t>
  </si>
  <si>
    <t xml:space="preserve">008153493</t>
  </si>
  <si>
    <t xml:space="preserve">LOT 44 BLOCK 6 DISTRICT LOT 490 PLAN 11393</t>
  </si>
  <si>
    <t xml:space="preserve">008153540</t>
  </si>
  <si>
    <t xml:space="preserve">LOT 51 BLOCK 6 DISTRICT LOT 490 PLAN 11393</t>
  </si>
  <si>
    <t xml:space="preserve">009079955</t>
  </si>
  <si>
    <t xml:space="preserve">LOT 47 BLOCK 6 DISTRICT LOT 490 PLAN 11393</t>
  </si>
  <si>
    <t xml:space="preserve">009079041</t>
  </si>
  <si>
    <t xml:space="preserve">LOT 12 BLOCK 6 DISTRICT LOT 490 PLAN 11393</t>
  </si>
  <si>
    <t xml:space="preserve">004313704</t>
  </si>
  <si>
    <t xml:space="preserve">LOT 40 BLOCK 6 DISTRICT LOT 490 PLAN 11393</t>
  </si>
  <si>
    <t xml:space="preserve">009079017</t>
  </si>
  <si>
    <t xml:space="preserve">LOT 11 BLOCK 6 DISTRICT LOT 490 PLAN 11393</t>
  </si>
  <si>
    <t xml:space="preserve">006025277</t>
  </si>
  <si>
    <t xml:space="preserve">LOT 26 BLOCK 6 DISTRICT LOT 490 PLAN 11393</t>
  </si>
  <si>
    <t xml:space="preserve">009080201</t>
  </si>
  <si>
    <t xml:space="preserve">LOT 57 BLOCK 6 DISTRICT LOT 490 PLAN 11393</t>
  </si>
  <si>
    <t xml:space="preserve">026009129</t>
  </si>
  <si>
    <t xml:space="preserve">LOT 2 DISTRICT LOT 490 GROUP 1 NEW WESTMINSTER DISTRICT PLAN BCP12466</t>
  </si>
  <si>
    <t xml:space="preserve">009080058</t>
  </si>
  <si>
    <t xml:space="preserve">LOT 52 BLOCK 6 DISTRICT LOT 490 PLAN 11393</t>
  </si>
  <si>
    <t xml:space="preserve">009080180</t>
  </si>
  <si>
    <t xml:space="preserve">LOT 56 BLOCK 6 DISTRICT LOT 490 PLAN 11393</t>
  </si>
  <si>
    <t xml:space="preserve">003451461</t>
  </si>
  <si>
    <t xml:space="preserve">LOT 25 BLOCK 6 DISTRICT LOT 490 PLAN 11393</t>
  </si>
  <si>
    <t xml:space="preserve">005875692</t>
  </si>
  <si>
    <t xml:space="preserve">LOT 41 BLOCK 6 DISTRICT LOT 490 PLAN 11393</t>
  </si>
  <si>
    <t xml:space="preserve">023175893</t>
  </si>
  <si>
    <t xml:space="preserve">LOT B (SEE BJ229063) BLOCK 6 DISTRICT LOT 490 NEW WESTMINSTER DISTRICT PLAN 11393</t>
  </si>
  <si>
    <t xml:space="preserve">009080279</t>
  </si>
  <si>
    <t xml:space="preserve">LOT 60 BLOCK 6 DISTRICT LOT 490 PLAN 11393</t>
  </si>
  <si>
    <t xml:space="preserve">009080210</t>
  </si>
  <si>
    <t xml:space="preserve">LOT 58 BLOCK 6 DISTRICT LOT 490 PLAN 11393</t>
  </si>
  <si>
    <t xml:space="preserve">009079246</t>
  </si>
  <si>
    <t xml:space="preserve">LOT 21 BLOCK 6 DISTRICT LOT 490 PLAN 11393</t>
  </si>
  <si>
    <t xml:space="preserve">009076671</t>
  </si>
  <si>
    <t xml:space="preserve">LOT 12 BLOCK 5 DISTRICT LOT 490 PLAN 11393</t>
  </si>
  <si>
    <t xml:space="preserve">026009111</t>
  </si>
  <si>
    <t xml:space="preserve">LOT 1 DISTRICT LOT 490 GROUP 1 NEW WESTMINSTER DISTRICT PLAN BCP12466</t>
  </si>
  <si>
    <t xml:space="preserve">003867781</t>
  </si>
  <si>
    <t xml:space="preserve">LOT C BLOCK 6 DISTRICT LOTS 490 AND 1628 PLAN 20142</t>
  </si>
  <si>
    <t xml:space="preserve">009163417</t>
  </si>
  <si>
    <t xml:space="preserve">LOT 34 BLOCK 3 DISTRICT LOT 490 PLAN 11088</t>
  </si>
  <si>
    <t xml:space="preserve">011392215</t>
  </si>
  <si>
    <t xml:space="preserve">LOT 1 OF LOT 6 BLOCKS 6 TO 8 DISTRICT LOT 1552 PLAN 4712</t>
  </si>
  <si>
    <t xml:space="preserve">005311918</t>
  </si>
  <si>
    <t xml:space="preserve">LOT 1 OF LOT 5 BLOCKS 6 TO 8 DISTRICT LOT 1552 PLAN 4712</t>
  </si>
  <si>
    <t xml:space="preserve">004488482</t>
  </si>
  <si>
    <t xml:space="preserve">LOT 116 BLOCKS B, E AND F DISTRICT LOT 492 PLAN 13685</t>
  </si>
  <si>
    <t xml:space="preserve">008040508</t>
  </si>
  <si>
    <t xml:space="preserve">LOT 123 BLOCKS B, E AND F DISTRICT LOT 492 PLAN 13685</t>
  </si>
  <si>
    <t xml:space="preserve">007113307</t>
  </si>
  <si>
    <t xml:space="preserve">LOT 147 BLOCKS B, E AND F DISTRICT LOT 492 PLAN 18676</t>
  </si>
  <si>
    <t xml:space="preserve">008040541</t>
  </si>
  <si>
    <t xml:space="preserve">LOT 124 BLOCKS B, E AND F DISTRICT LOT 492 PLAN 13685</t>
  </si>
  <si>
    <t xml:space="preserve">008040567</t>
  </si>
  <si>
    <t xml:space="preserve">LOT 125 BLOCKS B, E AND F DISTRICT LOT 492 PLAN 13685</t>
  </si>
  <si>
    <t xml:space="preserve">008040583</t>
  </si>
  <si>
    <t xml:space="preserve">LOT 126 BLOCKS B, E AND F DISTRICT LOT 492 PLAN 13685</t>
  </si>
  <si>
    <t xml:space="preserve">023183845</t>
  </si>
  <si>
    <t xml:space="preserve">LOT 27 DISTRICT LOTS 1547, 1551 AND 6618 GROUP 1 NEW WESTMINSTER DISTRICT PLAN LMP24875</t>
  </si>
  <si>
    <t xml:space="preserve">023214678</t>
  </si>
  <si>
    <t xml:space="preserve">STRATA LOT 1 DISTRICT LOTS 1547, 1551 AND 6618 GROUP 1 NEW WESTMINSTER DISTRICT STRATA PLAN LMS2105 TOGETHER WITH AN INTEREST IN THE COMMON PROPERTY IN PROPORTION TO THE UNIT ENTITLEMENT OF THE STRATA LOT AS SHOWN ON FORM 1.</t>
  </si>
  <si>
    <t xml:space="preserve">006858520</t>
  </si>
  <si>
    <t xml:space="preserve">LOT 23 BLOCKS B, E AND F DISTRICT LOT 492 PLAN 13685</t>
  </si>
  <si>
    <t xml:space="preserve">023214651</t>
  </si>
  <si>
    <t xml:space="preserve">STRATA LOT 1 DISTRICT LOT 1547 GROUP 1 NEW WESTMINSTER DISTRICT STRATA PLAN LMS2104 TOGETHER WITH AN INTEREST IN THE COMMON PROPERTY IN PROPORTION TO THE UNIT ENTITLEMENT OF THE STRATA LOT AS SHOWN ON FORM 1</t>
  </si>
  <si>
    <t xml:space="preserve">008038660</t>
  </si>
  <si>
    <t xml:space="preserve">LOT 21 BLOCKS B, E AND F DISTRICT LOT 492 PLAN 13685</t>
  </si>
  <si>
    <t xml:space="preserve">023214660</t>
  </si>
  <si>
    <t xml:space="preserve">STRATA LOT 2 DISTRICT LOT 1547 GROUP 1 NEW WESTMINSTER DISTRICT STRATA PLAN LMS2104 TOGETHER WITH AN INTEREST IN THE COMMON PROPERTY IN PROPORTION TO THE UNIT ENTITLEMENT OF THE STRATA LOT AS SHOWN ON FORM 1</t>
  </si>
  <si>
    <t xml:space="preserve">027771458</t>
  </si>
  <si>
    <t xml:space="preserve">LOT A DISTRICT LOT 1547 GROUP 1 NEW WESTMINSTER DISTRICT PLAN BCP39367</t>
  </si>
  <si>
    <t xml:space="preserve">006858465</t>
  </si>
  <si>
    <t xml:space="preserve">LOT 22 BLOCKS B, E AND F DISTRICT LOT 492 PLAN 13685</t>
  </si>
  <si>
    <t xml:space="preserve">023214694</t>
  </si>
  <si>
    <t xml:space="preserve">STRATA LOT 2 DISTRICT LOTS 1547, 1551 AND 6618 GROUP 1 NEW WESTMINSTER DISTRICT STRATA PLAN LMS2105 TOGETHER WITH AN INTEREST IN THE COMMON PROPERTY IN PROPORTION TO THE UNIT ENTITLEMENT OF THE STRATA LOT AS SHOWN ON FORM 1</t>
  </si>
  <si>
    <t xml:space="preserve">003280942</t>
  </si>
  <si>
    <t xml:space="preserve">STRATA LOT 7 DISTRICT LOT 1412 STRATA PLAN VR. 1622 TOGETHER WITH AN INTEREST IN THE COMMON PROPERTY IN PROPORTION TO THE UNIT ENTITLEMENT OF THE STRATA LOT AS SHOWN ON FORM 1.</t>
  </si>
  <si>
    <t xml:space="preserve">003280926</t>
  </si>
  <si>
    <t xml:space="preserve">STRATA LOT 6 DISTRICT LOT 1412 STRATA PLAN VR. 1622 TOGETHER WITH AN INTEREST IN THE COMMON PROPERTY IN PROPORTION TO THE UNIT ENTITLEMENT OF THE STRATA LOT AS SHOWN ON FORM 1.</t>
  </si>
  <si>
    <t xml:space="preserve">003280918</t>
  </si>
  <si>
    <t xml:space="preserve">STRATA LOT 5 DISTRICT LOT 1412 STRATA PLAN VR. 1622 TOGETHER WITH AN INTEREST IN THE COMMON PROPERTY IN PROPORTION TO THE UNIT ENTITLEMENT OF THE STRATA LOT AS SHOWN ON FORM 1.</t>
  </si>
  <si>
    <t xml:space="preserve">003280900</t>
  </si>
  <si>
    <t xml:space="preserve">STRATA LOT 4 DISTRICT LOT 1412 STRATA PLAN VR. 1622 TOGETHER WITH AN INTEREST IN THE COMMON PROPERTY IN PROPORTION TO THE UNIT ENTITLEMENT OF THE STRATA LOT AS SHOWN ON FORM 1</t>
  </si>
  <si>
    <t xml:space="preserve">003280896</t>
  </si>
  <si>
    <t xml:space="preserve">STRATA LOT 3 DISTRICT LOT 1412 STRATA PLAN VR. 1622 TOGETHER WITH AN INTEREST IN THE COMMON PROPERTY IN PROPORTION TO THE UNIT ENTITLEMENT OF THE STRATA LOT AS SHOWN ON FORM 1.</t>
  </si>
  <si>
    <t xml:space="preserve">003280870</t>
  </si>
  <si>
    <t xml:space="preserve">STRATA LOT 2 DISTRICT LOT 1412 STRATA PLAN VR. 1622 TOGETHER WITH AN INTEREST IN THE COMMON PROPERTY IN PROPORTION TO THE UNIT ENTITLEMENT OF THE STRATA LOT AS SHOWN ON FORM 1.</t>
  </si>
  <si>
    <t xml:space="preserve">027895351</t>
  </si>
  <si>
    <t xml:space="preserve">LOT 2 DISTRICT LOT 1412 GROUP 1 NEW WESTMINSTER DISTRICT PLAN BCP40660 (SEE PLAN AS TO LIMITED ACCESS)</t>
  </si>
  <si>
    <t xml:space="preserve">023183870</t>
  </si>
  <si>
    <t xml:space="preserve">LOT 30 DISTRICT LOT 1551 GROUP 1 NEW WESTMINSTER DISTRICT PLAN LMP24875</t>
  </si>
  <si>
    <t xml:space="preserve">008040656</t>
  </si>
  <si>
    <t xml:space="preserve">LOT 128 BLOCKS B, E AND F DISTRICT LOT 492 PLAN 13685</t>
  </si>
  <si>
    <t xml:space="preserve">008040966</t>
  </si>
  <si>
    <t xml:space="preserve">LOT 129 BLOCKS B, E AND F DISTRICT LOT 492 PLAN 13685</t>
  </si>
  <si>
    <t xml:space="preserve">008040974</t>
  </si>
  <si>
    <t xml:space="preserve">LOT 130 BLOCKS B, E AND F DISTRICT LOT 492 PLAN 13685</t>
  </si>
  <si>
    <t xml:space="preserve">018369189</t>
  </si>
  <si>
    <t xml:space="preserve">LOT D BLOCK 15 AND 16 DISTRICT LOT 1552 PLAN LMP11429</t>
  </si>
  <si>
    <t xml:space="preserve">026836963</t>
  </si>
  <si>
    <t xml:space="preserve">STRATA LOT 1 DISTRICT LOT 1552 GROUP 1 NEW WESTMINSTER DISTRICT STRATA PLAN BCS2021 TOGETHER WITH AN INTEREST IN THE COMMON PROPERTY IN PROPORTION TO THE UNIT ENTITLEMENT OF THE STRATA LOT AS SHOWN ON FORM V</t>
  </si>
  <si>
    <t xml:space="preserve">026836980</t>
  </si>
  <si>
    <t xml:space="preserve">STRATA LOT 2 DISTRICT LOT 1552 GROUP 1 NEW WESTMINSTER DISTRICT STRATA PLAN BCS2021 TOGETHER WITH AN INTEREST IN THE COMMON PROPERTY IN PROPORTION TO THE UNIT ENTITLEMENT OF THE STRATA LOT AS SHOWN ON FORM V</t>
  </si>
  <si>
    <t xml:space="preserve">017961319</t>
  </si>
  <si>
    <t xml:space="preserve">LOT F DISTRICT LOT 1552 PLAN LMP6935</t>
  </si>
  <si>
    <t xml:space="preserve">004284402</t>
  </si>
  <si>
    <t xml:space="preserve">LOT 7 BLOCK 1 DISTRICT LOT 2958 PLAN 13055</t>
  </si>
  <si>
    <t xml:space="preserve">008842027</t>
  </si>
  <si>
    <t xml:space="preserve">LOT B DISTRICT LOT 1911 PLAN 12596</t>
  </si>
  <si>
    <t xml:space="preserve">008842019</t>
  </si>
  <si>
    <t xml:space="preserve">LOT A DISTRICT LOT 1911 PLAN 12596</t>
  </si>
  <si>
    <t xml:space="preserve">011798301</t>
  </si>
  <si>
    <t xml:space="preserve">LOT 57 DISTRICT LOT 1911 PLAN 4131</t>
  </si>
  <si>
    <t xml:space="preserve">011798319</t>
  </si>
  <si>
    <t xml:space="preserve">LOT 58 DISTRICT LOT 1911 PLAN 4131</t>
  </si>
  <si>
    <t xml:space="preserve">011798297</t>
  </si>
  <si>
    <t xml:space="preserve">LOT 54 DISTRICT LOT 1911 PLAN 4131</t>
  </si>
  <si>
    <t xml:space="preserve">011798262</t>
  </si>
  <si>
    <t xml:space="preserve">LOT 52 DISTRICT LOT 1911 PLAN 4131</t>
  </si>
  <si>
    <t xml:space="preserve">011798271</t>
  </si>
  <si>
    <t xml:space="preserve">LOT 53 DISTRICT LOT 1911 PLAN 4131</t>
  </si>
  <si>
    <t xml:space="preserve">028310250</t>
  </si>
  <si>
    <t xml:space="preserve">LOT A DISTRICT LOT 1552 GROUP 1 NEW WESTMINSTER DISTRICT PLAN BCP45634</t>
  </si>
  <si>
    <t xml:space="preserve">008498237</t>
  </si>
  <si>
    <t xml:space="preserve">LOT 5 BLOCK A DISTRICT LOT 1545 PLAN 13739</t>
  </si>
  <si>
    <t xml:space="preserve">011397616</t>
  </si>
  <si>
    <t xml:space="preserve">LOT 3 OF LOT 2 BLOCKS 6 TO 8 DISTRICT LOT 1552 PLAN 4712</t>
  </si>
  <si>
    <t xml:space="preserve">010080431</t>
  </si>
  <si>
    <t xml:space="preserve">LOT 6 OF LOT 6 BLOCKS 6 TO 8 DISTRICT LOT 1552 PLAN 4712</t>
  </si>
  <si>
    <t xml:space="preserve">011397098</t>
  </si>
  <si>
    <t xml:space="preserve">LOT A (EXPLANATORY PLAN 8586) OF LOT 5 OF LOT 3 BLOCKS 6 TO 8 DISTRICT LOT 1552 PLAN 4712</t>
  </si>
  <si>
    <t xml:space="preserve">011397624</t>
  </si>
  <si>
    <t xml:space="preserve">LOT 4 OF LOT 2 BLOCKS 6 TO 8 DISTRICT LOT 1552 PLAN 4712</t>
  </si>
  <si>
    <t xml:space="preserve">011493640</t>
  </si>
  <si>
    <t xml:space="preserve">THAT PART OF LOT 4 LYING TO THE EAST OF A LINE BISECTING THE NORTH AND SOUTH BOUNDARIES OF SAID LOT OF LOT 3 BLOCKS 6 TO 8 DISTRICT LOT 1552 PLAN 4712</t>
  </si>
  <si>
    <t xml:space="preserve">011397004</t>
  </si>
  <si>
    <t xml:space="preserve">LOT 1 OF LOT 3 BLOCKS 6 TO 8 DISTRICT LOT 1552 PLAN 4712</t>
  </si>
  <si>
    <t xml:space="preserve">023213027</t>
  </si>
  <si>
    <t xml:space="preserve">LOT F BLOCK 2 DISTRICT LOT 1552 GROUP 1 NEW WESTMINSTER DISTRICT PLAN LMP25399</t>
  </si>
  <si>
    <t xml:space="preserve">011397047</t>
  </si>
  <si>
    <t xml:space="preserve">THAT PART OF LOT 4 LYING TO THE WEST OF A LINE BISECTING THE NORTH AND SOUTH BOUNDARIES OF SAID LOT OF LOT 3 BLOCKS 6 TO 8 DISTRICT LOT 1552 PLAN 4712</t>
  </si>
  <si>
    <t xml:space="preserve">011397853</t>
  </si>
  <si>
    <t xml:space="preserve">LOT 9 OF LOT 2 BLOCKS 6 TO 8 DISTRICT LOT 1552 PLAN 4712</t>
  </si>
  <si>
    <t xml:space="preserve">011397900</t>
  </si>
  <si>
    <t xml:space="preserve">LOT 12 OF LOT 2 BLOCKS 6 TO 8 DISTRICT LOT 1552 PLAN 4712</t>
  </si>
  <si>
    <t xml:space="preserve">011397691</t>
  </si>
  <si>
    <t xml:space="preserve">LOT 5 OF LOT 2 BLOCKS 6 TO 8 DISTRICT LOT 1552 PLAN 4712</t>
  </si>
  <si>
    <t xml:space="preserve">011397021</t>
  </si>
  <si>
    <t xml:space="preserve">LOT 3 OF LOT 3 BLOCKS 6 TO 8 DISTRICT LOT 1552 PLAN 4712</t>
  </si>
  <si>
    <t xml:space="preserve">011397861</t>
  </si>
  <si>
    <t xml:space="preserve">LOT 10 OF LOT 2 BLOCKS 6 TO 8 DISTRICT LOT 1552 PLAN 4712</t>
  </si>
  <si>
    <t xml:space="preserve">028334949</t>
  </si>
  <si>
    <t xml:space="preserve">LOT A DISTRICT LOT 1552 GROUP 1 NEW WESTMINSTER DISTRICT PLAN BCP46059</t>
  </si>
  <si>
    <t xml:space="preserve">018631304</t>
  </si>
  <si>
    <t xml:space="preserve">LOT E BLOCKS 6 TO 8 DISTRICT LOT 1552 PLAN LMP12286</t>
  </si>
  <si>
    <t xml:space="preserve">011397730</t>
  </si>
  <si>
    <t xml:space="preserve">LOT 8 OF LOT 2 BLOCKS 6 TO 8 DISTRICT LOT 1552 GROUP 1 NEW WESTMINSTER DISTRICT  PLAN 4712  EXCEPT PLAN EPP116135</t>
  </si>
  <si>
    <t xml:space="preserve">027293122</t>
  </si>
  <si>
    <t xml:space="preserve">STRATA LOT 3 DISTRICT LOT 1545 GROUP 1 NEW WESTMINSTER DISTRICT STRATA PLAN BCS2585 TOGETHER WITH AN INTEREST IN THE COMMON PROPERTY IN PROPORTION TO THE UNIT ENTITLEMENT OF THE STRATA LOT AS SHOWN ON FORM V</t>
  </si>
  <si>
    <t xml:space="preserve">027293114</t>
  </si>
  <si>
    <t xml:space="preserve">STRATA LOT 2 DISTRICT LOT 1545 GROUP 1 NEW WESTMINSTER DISTRICT STRATA PLAN BCS2585 TOGETHER WITH AN INTEREST IN THE COMMON PROPERTY IN PROPORTION TO THE UNIT ENTITLEMENT OF THE STRATA LOT AS SHOWN ON FORM V</t>
  </si>
  <si>
    <t xml:space="preserve">030562295</t>
  </si>
  <si>
    <t xml:space="preserve">LOT A DISTRICT LOT 2619 GROUP 1 NEW WESTMINSTER DISTRICT PLAN EPP79028</t>
  </si>
  <si>
    <t xml:space="preserve">030562309</t>
  </si>
  <si>
    <t xml:space="preserve">LOT B DISTRICT LOT 2619 GROUP 1 NEW WESTMINSTER DISTRICT PLAN EPP79028</t>
  </si>
  <si>
    <t xml:space="preserve">007758332</t>
  </si>
  <si>
    <t xml:space="preserve">LOT 27 DISTRICT LOT 2619 PLAN 14601</t>
  </si>
  <si>
    <t xml:space="preserve">018890334</t>
  </si>
  <si>
    <t xml:space="preserve">LOT 35 DISTRICT LOT 2619 PLAN LMP18296</t>
  </si>
  <si>
    <t xml:space="preserve">025817132</t>
  </si>
  <si>
    <t xml:space="preserve">LOT 1 DISTRICT LOT 490 AND PART OF THE BED OF SNUG COVE GROUP 1 NEW WESTMINSTER DISTRICT PLAN BCP5900</t>
  </si>
  <si>
    <t xml:space="preserve">009475435</t>
  </si>
  <si>
    <t xml:space="preserve">LOT 26 BLOCK A DISTRICT LOT 3042 PLAN 10353</t>
  </si>
  <si>
    <t xml:space="preserve">007038780</t>
  </si>
  <si>
    <t xml:space="preserve">LOT 11 BLOCK E DISTRICT LOT 3042 PLAN 19283</t>
  </si>
  <si>
    <t xml:space="preserve">007038771</t>
  </si>
  <si>
    <t xml:space="preserve">LOT 10 BLOCK E DISTRICT LOT 3042 PLAN 19283</t>
  </si>
  <si>
    <t xml:space="preserve">003885305</t>
  </si>
  <si>
    <t xml:space="preserve">LOT 20 BLOCK A DISTRICT LOT 3042 PLAN 10353</t>
  </si>
  <si>
    <t xml:space="preserve">009475419</t>
  </si>
  <si>
    <t xml:space="preserve">LOT 25 BLOCK A DISTRICT LOT 3042 PLAN 10353</t>
  </si>
  <si>
    <t xml:space="preserve">009475460</t>
  </si>
  <si>
    <t xml:space="preserve">LOT 29 BLOCK A DISTRICT LOT 3042 PLAN 10353</t>
  </si>
  <si>
    <t xml:space="preserve">008874875</t>
  </si>
  <si>
    <t xml:space="preserve">LOT 54 BLOCK A DISTRICT LOT 3042 PLAN 12504</t>
  </si>
  <si>
    <t xml:space="preserve">009475494</t>
  </si>
  <si>
    <t xml:space="preserve">LOT 30 BLOCK A DISTRICT LOT 3042 PLAN 10353</t>
  </si>
  <si>
    <t xml:space="preserve">018351620</t>
  </si>
  <si>
    <t xml:space="preserve">LOT 22 BLOCK A DISTRICT LOT 3042 PLAN 10353</t>
  </si>
  <si>
    <t xml:space="preserve">004532732</t>
  </si>
  <si>
    <t xml:space="preserve">LOT 18 BLOCK A DISTRICT LOT 3042 PLAN 10353</t>
  </si>
  <si>
    <t xml:space="preserve">005740223</t>
  </si>
  <si>
    <t xml:space="preserve">LOT 27 BLOCK A DISTRICT LOT 3042 PLAN 10353</t>
  </si>
  <si>
    <t xml:space="preserve">004126653</t>
  </si>
  <si>
    <t xml:space="preserve">LOT 24 BLOCK A DISTRICT LOT 3042 PLAN 10353</t>
  </si>
  <si>
    <t xml:space="preserve">009475397</t>
  </si>
  <si>
    <t xml:space="preserve">LOT 23 BLOCK A DISTRICT LOT 3042 PLAN 10353</t>
  </si>
  <si>
    <t xml:space="preserve">009475389</t>
  </si>
  <si>
    <t xml:space="preserve">LOT 21 BLOCK A DISTRICT LOT 3042 PLAN 10353</t>
  </si>
  <si>
    <t xml:space="preserve">005262534</t>
  </si>
  <si>
    <t xml:space="preserve">LOT 8 BLOCK E DISTRICT LOT 3042 PLAN 19283</t>
  </si>
  <si>
    <t xml:space="preserve">009475362</t>
  </si>
  <si>
    <t xml:space="preserve">LOT 19 BLOCK A DISTRICT LOT 3042 PLAN 10353</t>
  </si>
  <si>
    <t xml:space="preserve">009171177</t>
  </si>
  <si>
    <t xml:space="preserve">LOT 39 BLOCK A DISTRICT LOT 3042 PLAN 11055</t>
  </si>
  <si>
    <t xml:space="preserve">009475451</t>
  </si>
  <si>
    <t xml:space="preserve">LOT 28 BLOCK A DISTRICT LOT 3042 PLAN 10353</t>
  </si>
  <si>
    <t xml:space="preserve">007038763</t>
  </si>
  <si>
    <t xml:space="preserve">LOT 9 BLOCK E DISTRICT LOT 3042 PLAN 19283</t>
  </si>
  <si>
    <t xml:space="preserve">008474389</t>
  </si>
  <si>
    <t xml:space="preserve">LOT 4 BLOCK 13 DISTRICT LOT 1552 PLAN 10471</t>
  </si>
  <si>
    <t xml:space="preserve">009397965</t>
  </si>
  <si>
    <t xml:space="preserve">LOT 5 BLOCK 13 DISTRICT LOT 1552 PLAN 10471</t>
  </si>
  <si>
    <t xml:space="preserve">030307708</t>
  </si>
  <si>
    <t xml:space="preserve">LOT A DISTRICT LOT 3042 GROUP 1 NEW WESTMINSTER DISTRICT PLAN EPP69089</t>
  </si>
  <si>
    <t xml:space="preserve">009015914</t>
  </si>
  <si>
    <t xml:space="preserve">LOT 10 BLOCK D DISTRICT LOT 3042 PLAN 11909</t>
  </si>
  <si>
    <t xml:space="preserve">009015779</t>
  </si>
  <si>
    <t xml:space="preserve">LOT 1 BLOCK E DISTRICT LOT 3042 PLAN 11909</t>
  </si>
  <si>
    <t xml:space="preserve">009015922</t>
  </si>
  <si>
    <t xml:space="preserve">LOT 11 BLOCK D DISTRICT LOT 3042 PLAN 11909</t>
  </si>
  <si>
    <t xml:space="preserve">009015906</t>
  </si>
  <si>
    <t xml:space="preserve">LOT 9 BLOCK D DISTRICT LOT 3042 PLAN 11909</t>
  </si>
  <si>
    <t xml:space="preserve">008780722</t>
  </si>
  <si>
    <t xml:space="preserve">LOT 12 BLOCK D DISTRICT LOT 3042 PLAN 12865</t>
  </si>
  <si>
    <t xml:space="preserve">011641550</t>
  </si>
  <si>
    <t xml:space="preserve">THAT PART OF BLOCK 13 LYING TO THE EAST OF THE MAIN DEDICATED ROAD EXCEPT PART IN PLAN 10471 DISTRICT LOT 1552 PLAN 4330</t>
  </si>
  <si>
    <t xml:space="preserve">018272312</t>
  </si>
  <si>
    <t xml:space="preserve">LOT C DISTRICT LOT 1347 PLAN LMP10622</t>
  </si>
  <si>
    <t xml:space="preserve">008652066</t>
  </si>
  <si>
    <t xml:space="preserve">LOT 57 BLOCK A DISTRICT LOT 3042 PLAN 13385</t>
  </si>
  <si>
    <t xml:space="preserve">004956192</t>
  </si>
  <si>
    <t xml:space="preserve">LOT 1 BLOCK 1 DISTRICT LOT 490 PLAN 7806</t>
  </si>
  <si>
    <t xml:space="preserve">005031745</t>
  </si>
  <si>
    <t xml:space="preserve">LOT 5 BLOCK 1 DISTRICT LOT 490 PLAN 7806</t>
  </si>
  <si>
    <t xml:space="preserve">010533966</t>
  </si>
  <si>
    <t xml:space="preserve">LOT 11 BLOCK 1 DISTRICT LOT 490 PLAN 7806</t>
  </si>
  <si>
    <t xml:space="preserve">008772738</t>
  </si>
  <si>
    <t xml:space="preserve">LOT 4 BLOCK 1 DISTRICT LOT 490 PLAN 7806</t>
  </si>
  <si>
    <t xml:space="preserve">007305486</t>
  </si>
  <si>
    <t xml:space="preserve">LOT 6 BLOCK 1 DISTRICT LOT 490 PLAN 7806</t>
  </si>
  <si>
    <t xml:space="preserve">010533991</t>
  </si>
  <si>
    <t xml:space="preserve">LOT 12 BLOCK 1 DISTRICT LOT 490 PLAN 7806</t>
  </si>
  <si>
    <t xml:space="preserve">023218312</t>
  </si>
  <si>
    <t xml:space="preserve">LOT 2 BLOCK 1 DISTRICT LOT 490 GROUP 1 NEW WESTMINSTER DISTRICT PLAN 7806</t>
  </si>
  <si>
    <t xml:space="preserve">010533664</t>
  </si>
  <si>
    <t xml:space="preserve">LOT 3 BLOCK 1 DISTRICT LOT 490 PLAN 7806</t>
  </si>
  <si>
    <t xml:space="preserve">010533761</t>
  </si>
  <si>
    <t xml:space="preserve">LOT 7 BLOCK 1 DISTRICT LOT 490 PLAN 7806</t>
  </si>
  <si>
    <t xml:space="preserve">010533826</t>
  </si>
  <si>
    <t xml:space="preserve">LOT 9 BLOCK 1 DISTRICT LOT 490 PLAN 7806</t>
  </si>
  <si>
    <t xml:space="preserve">007253788</t>
  </si>
  <si>
    <t xml:space="preserve">LOT 3 BLOCK C DISTRICT LOT 2447 PLAN 17863</t>
  </si>
  <si>
    <t xml:space="preserve">010929916</t>
  </si>
  <si>
    <t xml:space="preserve">BLOCK 10 DISTRICT LOT 2192 PLAN 6252</t>
  </si>
  <si>
    <t xml:space="preserve">016649800</t>
  </si>
  <si>
    <t xml:space="preserve">STRATA LOT 6 DISTRICT LOT 2447 STRATA PLAN VR. 2453 TOGETHER WITH AN INTEREST IN THE COMMON PROPERTY IN PROPORTION TO THE UNIT ENTITLEMENT OF THE STRATA LOT AS SHOWN ON FORM 1.</t>
  </si>
  <si>
    <t xml:space="preserve">008763372</t>
  </si>
  <si>
    <t xml:space="preserve">LOT 3 BLOCK A DISTRICT LOT 2447 PLAN 12928</t>
  </si>
  <si>
    <t xml:space="preserve">017376475</t>
  </si>
  <si>
    <t xml:space="preserve">LOT A DISTRICT LOT 2619 PLAN LMP675</t>
  </si>
  <si>
    <t xml:space="preserve">008729051</t>
  </si>
  <si>
    <t xml:space="preserve">LOT 7 BLOCK A DISTRICT LOT 2447 PLAN 13126</t>
  </si>
  <si>
    <t xml:space="preserve">023264799</t>
  </si>
  <si>
    <t xml:space="preserve">STRATA LOT 10 DISTRICT LOT 2619 GROUP 1 NEW WESTMINSTER DISTRICT STRATA PLAN LMS2199 TOGETHER WITH AN INTEREST IN THE COMMON PROPERTY IN PROPORTION TO THE UNIT ENTITLEMENT OF THE STRATA LOT AS SHOWN ON FORM 1</t>
  </si>
  <si>
    <t xml:space="preserve">023264713</t>
  </si>
  <si>
    <t xml:space="preserve">STRATA LOT 2 DISTRICT LOT 2619 GROUP 1 NEW WESTMINSTER DISTRICT STRATA PLAN LMS2199 TOGETHER WITH AN INTEREST IN THE COMMON PROPERTY IN PROPORTION TO THE UNIT ENTITLEMENT OF THE STRATA LOT AS SHOWN ON FORM 1</t>
  </si>
  <si>
    <t xml:space="preserve">017376483</t>
  </si>
  <si>
    <t xml:space="preserve">LOT B DISTRICT LOT 2619 PLAN LMP675</t>
  </si>
  <si>
    <t xml:space="preserve">023264811</t>
  </si>
  <si>
    <t xml:space="preserve">STRATA LOT 12 DISTRICT LOT 2619 GROUP 1 NEW WESTMINSTER DISTRICT STRATA PLAN LMS2199 TOGETHER WITH AN INTEREST IN THE COMMON PROPERTY IN PROPORTION TO THE UNIT ENTITLEMENT OF THE STRATA LOT AS SHOWN ON FORM 1</t>
  </si>
  <si>
    <t xml:space="preserve">010929975</t>
  </si>
  <si>
    <t xml:space="preserve">BLOCK 11 DISTRICT LOT 2192 PLAN 6252</t>
  </si>
  <si>
    <t xml:space="preserve">007048327</t>
  </si>
  <si>
    <t xml:space="preserve">LOT 2 OF LOT D DISTRICT LOT 2447 PLAN 21184</t>
  </si>
  <si>
    <t xml:space="preserve">023264764</t>
  </si>
  <si>
    <t xml:space="preserve">STRATA LOT 7 DISTRICT LOT 2619 GROUP 1 NEW WESTMINSTER DISTRICT STRATA PLAN LMS2199 TOGETHER WITH AN INTEREST IN THE COMMON PROPERTY IN PROPORTION TO THE UNIT ENTITLEMENT OF THE STRATA LOT AS SHOWN ON FORM 1</t>
  </si>
  <si>
    <t xml:space="preserve">010929886</t>
  </si>
  <si>
    <t xml:space="preserve">BLOCK 9 DISTRICT LOT 2192 PLAN 6252</t>
  </si>
  <si>
    <t xml:space="preserve">023264748</t>
  </si>
  <si>
    <t xml:space="preserve">STRATA LOT 5 DISTRICT LOT 2619 GROUP 1 NEW WESTMINSTER DISTRICT STRATA PLAN LMS2199 TOGETHER WITH AN INTEREST IN THE COMMON PROPERTY IN PROPORTION TO THE UNIT ENTITLEMENT OF THE STRATA LOT AS SHOWN ON FORM 1</t>
  </si>
  <si>
    <t xml:space="preserve">017051118</t>
  </si>
  <si>
    <t xml:space="preserve">STRATA LOT 2 DISTRICT LOT 2447 STRATA PLAN VAS2854 TOGETHER WITH AN INTEREST IN THE COMMON PROPERTY IN PROPORTION TO THE UNIT ENTITLEMENT OF THE STRATA LOT AS SHOWN ON FORM 1.</t>
  </si>
  <si>
    <t xml:space="preserve">006249159</t>
  </si>
  <si>
    <t xml:space="preserve">LOT A BLOCK 5 DISTRICT LOT 2447 PLAN 17584</t>
  </si>
  <si>
    <t xml:space="preserve">023264781</t>
  </si>
  <si>
    <t xml:space="preserve">STRATA LOT 9 DISTRICT LOT 2619 GROUP 1 NEW WESTMINSTER DISTRICT STRATA PLAN LMS2199 TOGETHER WITH AN INTEREST IN THE COMMON PROPERTY IN PROPORTION TO THE UNIT ENTITLEMENT OF THE STRATA LOT AS SHOWN ON FORM 1</t>
  </si>
  <si>
    <t xml:space="preserve">010929797</t>
  </si>
  <si>
    <t xml:space="preserve">BLOCK 5 DISTRICT LOT 2192 PLAN 6252</t>
  </si>
  <si>
    <t xml:space="preserve">017051134</t>
  </si>
  <si>
    <t xml:space="preserve">STRATA LOT 4 DISTRICT LOT 2447 STRATA PLAN VAS2854 TOGETHER WITH AN INTEREST IN THE COMMON PROPERTY IN PROPORTION TO THE UNIT ENTITLEMENT OF THE STRATA LOT AS SHOWN ON FORM 1.</t>
  </si>
  <si>
    <t xml:space="preserve">028057252</t>
  </si>
  <si>
    <t xml:space="preserve">LOT 2 DISTRICT LOT 2447 GROUP 1 NEW WESTMINSTER DISTRICT PLAN BCP42558</t>
  </si>
  <si>
    <t xml:space="preserve">008731063</t>
  </si>
  <si>
    <t xml:space="preserve">LOT 13 BLOCK A DISTRICT LOT 2447 PLAN 13173</t>
  </si>
  <si>
    <t xml:space="preserve">023264756</t>
  </si>
  <si>
    <t xml:space="preserve">STRATA LOT 6 DISTRICT LOT 2619 GROUP 1 NEW WESTMINSTER DISTRICT STRATA PLAN LMS2199 TOGETHER WITH AN INTEREST IN THE COMMON PROPERTY IN PROPORTION TO THE UNIT ENTITLEMENT OF THE STRATA LOT AS SHOWN ON FORM 1</t>
  </si>
  <si>
    <t xml:space="preserve">016649770</t>
  </si>
  <si>
    <t xml:space="preserve">STRATA LOT 4 DISTRICT LOT 2447 STRATA PLAN VR. 2453 TOGETHER WITH AN INTEREST IN THE COMMON PROPERTY IN PROPORTION TO THE UNIT ENTITLEMENT OF THE STRATA LOT AS SHOWN ON FORM 1.</t>
  </si>
  <si>
    <t xml:space="preserve">008673292</t>
  </si>
  <si>
    <t xml:space="preserve">LOT A BLOCK A DISTRICT LOT 2447 PLAN 13324</t>
  </si>
  <si>
    <t xml:space="preserve">010930051</t>
  </si>
  <si>
    <t xml:space="preserve">BLOCK 18 DISTRICT LOT 2192 PLAN 6252</t>
  </si>
  <si>
    <t xml:space="preserve">023264730</t>
  </si>
  <si>
    <t xml:space="preserve">STRATA LOT 4 DISTRICT LOT 2619 GROUP 1 NEW WESTMINSTER DISTRICT STRATA PLAN LMS2199 TOGETHER WITH AN INTEREST IN THE COMMON PROPERTY IN PROPORTION TO THE UNIT ENTITLEMENT OF THE STRATA LOT AS SHOWN ON FORM 1</t>
  </si>
  <si>
    <t xml:space="preserve">016649818</t>
  </si>
  <si>
    <t xml:space="preserve">STRATA LOT 7 DISTRICT LOT 2447 STRATA PLAN VR. 2453 TOGETHER WITH AN INTEREST IN THE COMMON PROPERTY IN PROPORTION TO THE UNIT ENTITLEMENT OF THE STRATA LOT AS SHOWN ON FORM 1.</t>
  </si>
  <si>
    <t xml:space="preserve">023264896</t>
  </si>
  <si>
    <t xml:space="preserve">STRATA LOT 20 DISTRICT LOT 2619 GROUP 1 NEW WESTMINSTER DISTRICT STRATA PLAN LMS2199 TOGETHER WITH AN INTEREST IN THE COMMON PROPERTY IN PROPORTION TO THE UNIT ENTITLEMENT OF THE STRATA LOT AS SHOWN ON FORM 1</t>
  </si>
  <si>
    <t xml:space="preserve">010651837</t>
  </si>
  <si>
    <t xml:space="preserve">LOT 2 DISTRICT LOT 1910 PLAN 7352</t>
  </si>
  <si>
    <t xml:space="preserve">023264900</t>
  </si>
  <si>
    <t xml:space="preserve">STRATA LOT 21 DISTRICT LOT 2619 GROUP 1 NEW WESTMINSTER DISTRICT STRATA PLAN LMS2199 TOGETHER WITH AN INTEREST IN THE COMMON PROPERTY IN PROPORTION TO THE UNIT ENTITLEMENT OF THE STRATA LOT AS SHOWN ON FORM 1</t>
  </si>
  <si>
    <t xml:space="preserve">023264705</t>
  </si>
  <si>
    <t xml:space="preserve">STRATA LOT 1 DISTRICT LOT 2619 GROUP 1 NEW WESTMINSTER DISTRICT STRATA PLAN LMS2199 TOGETHER WITH AN INTEREST IN THE COMMON PROPERTY IN PROPORTION TO THE UNIT ENTITLEMENT OF THE STRATA LOT AS SHOWN ON FORM 1</t>
  </si>
  <si>
    <t xml:space="preserve">008730857</t>
  </si>
  <si>
    <t xml:space="preserve">LOT 8 BLOCK A DISTRICT LOT 2447 PLAN 13173</t>
  </si>
  <si>
    <t xml:space="preserve">017051100</t>
  </si>
  <si>
    <t xml:space="preserve">STRATA LOT 1 DISTRICT LOT 2447 STRATA PLAN VAS2854 TOGETHER WITH AN INTEREST IN THE COMMON PROPERTY IN PROPORTION TO THE UNIT ENTITLEMENT OF THE STRATA LOT AS SHOWN ON FORM 1.</t>
  </si>
  <si>
    <t xml:space="preserve">028057261</t>
  </si>
  <si>
    <t xml:space="preserve">LOT 3 DISTRICT LOT 2447 GROUP 1 NEW WESTMINSTER DISTRICT PLAN BCP42558</t>
  </si>
  <si>
    <t xml:space="preserve">023264837</t>
  </si>
  <si>
    <t xml:space="preserve">STRATA LOT 14 DISTRICT LOT 2619 GROUP 1 NEW WESTMINSTER DISTRICT STRATA PLAN LMS2199 TOGETHER WITH AN INTEREST IN THE COMMON PROPERTY IN PROPORTION TO THE UNIT ENTITLEMENT OF THE STRATA LOT AS SHOWN ON FORM 1</t>
  </si>
  <si>
    <t xml:space="preserve">008811237</t>
  </si>
  <si>
    <t xml:space="preserve">LOT 2 BLOCK A DISTRICT LOT 2447 PLAN 12756</t>
  </si>
  <si>
    <t xml:space="preserve">025869990</t>
  </si>
  <si>
    <t xml:space="preserve">LOT D BLOCK A DISTRICT LOT 2447 GROUP 1 NEW WESTMINSTER DISTRICT PLAN BCP9591</t>
  </si>
  <si>
    <t xml:space="preserve">008731012</t>
  </si>
  <si>
    <t xml:space="preserve">LOT 12 BLOCK A DISTRICT LOT 2447 PLAN 13173</t>
  </si>
  <si>
    <t xml:space="preserve">023264870</t>
  </si>
  <si>
    <t xml:space="preserve">STRATA LOT 18 DISTRICT LOT 2619 GROUP 1 NEW WESTMINSTER DISTRICT STRATA PLAN LMS2199 TOGETHER WITH AN INTEREST IN THE COMMON PROPERTY IN PROPORTION TO THE UNIT ENTITLEMENT OF THE STRATA LOT AS SHOWN ON FORM 1</t>
  </si>
  <si>
    <t xml:space="preserve">023264845</t>
  </si>
  <si>
    <t xml:space="preserve">STRATA LOT 15 DISTRICT LOT 2619 GROUP 1 NEW WESTMINSTER DISTRICT STRATA PLAN LMS2199 TOGETHER WITH AN INTEREST IN THE COMMON PROPERTY IN PROPORTION TO THE UNIT ENTITLEMENT OF THE STRATA LOT AS SHOWN ON FORM 1</t>
  </si>
  <si>
    <t xml:space="preserve">007274017</t>
  </si>
  <si>
    <t xml:space="preserve">LOT A (EXPLANATORY PLAN 15079) OF LOT 1 BLOCK C DISTRICT LOT 2447 PLAN 17516</t>
  </si>
  <si>
    <t xml:space="preserve">010929550</t>
  </si>
  <si>
    <t xml:space="preserve">BLOCK 1 DISTRICT LOT 2192 PLAN 6252</t>
  </si>
  <si>
    <t xml:space="preserve">CROWN PROVINCIAL</t>
  </si>
  <si>
    <t xml:space="preserve">007253761</t>
  </si>
  <si>
    <t xml:space="preserve">LOT 2 BLOCK C DISTRICT LOT 2447 PLAN 17863</t>
  </si>
  <si>
    <t xml:space="preserve">017051126</t>
  </si>
  <si>
    <t xml:space="preserve">STRATA LOT 3 DISTRICT LOT 2447 STRATA PLAN VAS2854 TOGETHER WITH AN INTEREST IN THE COMMON PROPERTY IN PROPORTION TO THE UNIT ENTITLEMENT OF THE STRATA LOT AS SHOWN ON FORM 1.</t>
  </si>
  <si>
    <t xml:space="preserve">028057279</t>
  </si>
  <si>
    <t xml:space="preserve">LOT 4 DISTRICT LOT 2447 GROUP 1 NEW WESTMINSTER DISTRICT PLAN BCP42558</t>
  </si>
  <si>
    <t xml:space="preserve">008729026</t>
  </si>
  <si>
    <t xml:space="preserve">LOT 5 BLOCK A DISTRICT LOT 2447 PLAN 13126</t>
  </si>
  <si>
    <t xml:space="preserve">023264853</t>
  </si>
  <si>
    <t xml:space="preserve">STRATA LOT 16 DISTRICT LOT 2619 GROUP 1 NEW WESTMINSTER DISTRICT STRATA PLAN LMS2199 TOGETHER WITH AN INTEREST IN THE COMMON PROPERTY IN PROPORTION TO THE UNIT ENTITLEMENT OF THE STRATA LOT AS SHOWN ON FORM 1</t>
  </si>
  <si>
    <t xml:space="preserve">023264888</t>
  </si>
  <si>
    <t xml:space="preserve">STRATA LOT 19 DISTRICT LOT 2619 GROUP 1 NEW WESTMINSTER DISTRICT STRATA PLAN LMS2199 TOGETHER WITH AN INTEREST IN THE COMMON PROPERTY IN PROPORTION TO THE UNIT ENTITLEMENT OF THE STRATA LOT AS SHOWN ON FORM 1</t>
  </si>
  <si>
    <t xml:space="preserve">014483939</t>
  </si>
  <si>
    <t xml:space="preserve">STRATA LOT 1 DISTRICT LOT 2447 STRATA PLAN VR. 2453, TOGETHER WITH AN INTEREST IN THE COMMON PROPERTY IN PROPORTION TO THE UNIT ENTITLEMENT OF THE STRATA LOT AS SHOWN ON FORM 1.</t>
  </si>
  <si>
    <t xml:space="preserve">023264721</t>
  </si>
  <si>
    <t xml:space="preserve">STRATA LOT 3 DISTRICT LOT 2619 GROUP 1 NEW WESTMINSTER DISTRICT STRATA PLAN LMS2199 TOGETHER WITH AN INTEREST IN THE COMMON PROPERTY IN PROPORTION TO THE UNIT ENTITLEMENT OF THE STRATA LOT AS SHOWN ON FORM 1</t>
  </si>
  <si>
    <t xml:space="preserve">008573352</t>
  </si>
  <si>
    <t xml:space="preserve">BLOCK 17 DISTRICT LOT 2192 PLAN 6252</t>
  </si>
  <si>
    <t xml:space="preserve">014483963</t>
  </si>
  <si>
    <t xml:space="preserve">STRATA LOT 3 DISTRICT LOT 2447 STRATA PLAN VR. 2453, TOGETHER WITH AN INTEREST IN THE COMMON PROPERTY IN PROPORTION TO THE UNIT ENTITLEMENT OF THE STRATA LOT AS SHOWN ON FORM 1.</t>
  </si>
  <si>
    <t xml:space="preserve">013701908</t>
  </si>
  <si>
    <t xml:space="preserve">LOT C BLOCK A DISTRICT LOT 2447 PLAN 22221</t>
  </si>
  <si>
    <t xml:space="preserve">023264802</t>
  </si>
  <si>
    <t xml:space="preserve">STRATA LOT 11 DISTRICT LOT 2619 GROUP 1 NEW WESTMINSTER DISTRICT STRATA PLAN LMS2199 TOGETHER WITH AN INTEREST IN THE COMMON PROPERTY IN PROPORTION TO THE UNIT ENTITLEMENT OF THE STRATA LOT AS SHOWN ON FORM 1</t>
  </si>
  <si>
    <t xml:space="preserve">023264772</t>
  </si>
  <si>
    <t xml:space="preserve">STRATA LOT 8 DISTRICT LOT 2619 GROUP 1 NEW WESTMINSTER DISTRICT STRATA PLAN LMS2199 TOGETHER WITH AN INTEREST IN THE COMMON PROPERTY IN PROPORTION TO THE UNIT ENTITLEMENT OF THE STRATA LOT AS SHOWN ON FORM 1</t>
  </si>
  <si>
    <t xml:space="preserve">028057244</t>
  </si>
  <si>
    <t xml:space="preserve">LOT 1 DISTRICT LOT 2447 GROUP 1 NEW WESTMINSTER DISTRICT PLAN BCP42558</t>
  </si>
  <si>
    <t xml:space="preserve">010929622</t>
  </si>
  <si>
    <t xml:space="preserve">BLOCK 3 DISTRICT LOT 2192 PLAN 6252</t>
  </si>
  <si>
    <t xml:space="preserve">014483947</t>
  </si>
  <si>
    <t xml:space="preserve">STRATA LOT 2 DISTRICT LOT 2447 STRATA PLAN VR. 2453, TOGETHER WITH AN INTEREST IN THE COMMON PROPERTY IN PROPORTION TO THE UNIT ENTITLEMENT OF THE STRATA LOT AS SHOWN ON FORM 1.</t>
  </si>
  <si>
    <t xml:space="preserve">011081775</t>
  </si>
  <si>
    <t xml:space="preserve">BLOCK 3 DISTRICT LOTS 2447 AND 2619 PLAN 6657</t>
  </si>
  <si>
    <t xml:space="preserve">002487951</t>
  </si>
  <si>
    <t xml:space="preserve">BLOCK 1 DISTRICT LOTS 2447 AND 2619 PLAN 6657</t>
  </si>
  <si>
    <t xml:space="preserve">008730962</t>
  </si>
  <si>
    <t xml:space="preserve">LOT 11 BLOCK A DISTRICT LOT 2447 PLAN 13173</t>
  </si>
  <si>
    <t xml:space="preserve">023264918</t>
  </si>
  <si>
    <t xml:space="preserve">STRATA LOT 22 DISTRICT LOT 2619 GROUP 1 NEW WESTMINSTER DISTRICT STRATA PLAN LMS2199 TOGETHER WITH AN INTEREST IN THE COMMON PROPERTY IN PROPORTION TO THE UNIT ENTITLEMENT OF THE STRATA LOT AS SHOWN ON FORM 1</t>
  </si>
  <si>
    <t xml:space="preserve">010929584</t>
  </si>
  <si>
    <t xml:space="preserve">BLOCK 2 DISTRICT LOT 2192 PLAN 6252</t>
  </si>
  <si>
    <t xml:space="preserve">011081741</t>
  </si>
  <si>
    <t xml:space="preserve">BLOCK 2 DISTRICT LOTS 2447 AND 2619 PLAN 6657</t>
  </si>
  <si>
    <t xml:space="preserve">025870009</t>
  </si>
  <si>
    <t xml:space="preserve">LOT E BLOCK A DISTRICT LOT 2447 GROUP 1 NEW WESTMINSTER DISTRICT PLAN BCP9591</t>
  </si>
  <si>
    <t xml:space="preserve">008729042</t>
  </si>
  <si>
    <t xml:space="preserve">LOT 6 BLOCK A DISTRICT LOT 2447 PLAN 13126</t>
  </si>
  <si>
    <t xml:space="preserve">026272571</t>
  </si>
  <si>
    <t xml:space="preserve">LOT E DISTRICT LOTS 1910 AND 2192 GROUP 1 NEW WESTMINSTER DISTRICT PLAN BCP17379</t>
  </si>
  <si>
    <t xml:space="preserve">006543979</t>
  </si>
  <si>
    <t xml:space="preserve">LOT 6 BLOCK C DISTRICT LOT 2447 PLAN 17863</t>
  </si>
  <si>
    <t xml:space="preserve">008763437</t>
  </si>
  <si>
    <t xml:space="preserve">LOT 4 BLOCK A DISTRICT LOT 2447 PLAN 12928</t>
  </si>
  <si>
    <t xml:space="preserve">008673331</t>
  </si>
  <si>
    <t xml:space="preserve">LOT B BLOCK A DISTRICT LOT 2447 PLAN 13324</t>
  </si>
  <si>
    <t xml:space="preserve">008842108</t>
  </si>
  <si>
    <t xml:space="preserve">LOT B BLOCK 16 DISTRICT LOT 2192 PLAN 12594</t>
  </si>
  <si>
    <t xml:space="preserve">023264861</t>
  </si>
  <si>
    <t xml:space="preserve">STRATA LOT 17 DISTRICT LOT 2619 GROUP 1 NEW WESTMINSTER DISTRICT STRATA PLAN LMS2199 TOGETHER WITH AN INTEREST IN THE COMMON PROPERTY IN PROPORTION TO THE UNIT ENTITLEMENT OF THE STRATA LOT AS SHOWN ON FORM 1</t>
  </si>
  <si>
    <t xml:space="preserve">007253796</t>
  </si>
  <si>
    <t xml:space="preserve">LOT 4 BLOCK C DISTRICT LOT 2447 PLAN 17863</t>
  </si>
  <si>
    <t xml:space="preserve">023264829</t>
  </si>
  <si>
    <t xml:space="preserve">STRATA LOT 13 DISTRICT LOT 2619 GROUP 1 NEW WESTMINSTER DISTRICT STRATA PLAN LMS2199 TOGETHER WITH AN INTEREST IN THE COMMON PROPERTY IN PROPORTION TO THE UNIT ENTITLEMENT OF THE STRATA LOT AS SHOWN ON FORM 1</t>
  </si>
  <si>
    <t xml:space="preserve">010929771</t>
  </si>
  <si>
    <t xml:space="preserve">BLOCK 4 DISTRICT LOT 2192 PLAN 6252</t>
  </si>
  <si>
    <t xml:space="preserve">007253818</t>
  </si>
  <si>
    <t xml:space="preserve">LOT 5 BLOCK C DISTRICT LOT 2447 PLAN 17863</t>
  </si>
  <si>
    <t xml:space="preserve">016649826</t>
  </si>
  <si>
    <t xml:space="preserve">STRATA LOT 8 DISTRICT LOT 2447 STRATA PLAN VR. 2453 TOGETHER WITH AN INTEREST IN THE COMMON PROPERTY IN PROPORTION TO THE UNIT ENTITLEMENT OF THE STRATA LOT AS SHOWN ON FORM 1.</t>
  </si>
  <si>
    <t xml:space="preserve">008509638</t>
  </si>
  <si>
    <t xml:space="preserve">LOT 12 BLOCK C DISTRICT LOT 1545 PLAN 13739</t>
  </si>
  <si>
    <t xml:space="preserve">028979389</t>
  </si>
  <si>
    <t xml:space="preserve">LOT 2 DISTRICT LOT 1552 GROUP 1 NEW WESTMINSTER DISTRICT PLAN EPP21657</t>
  </si>
  <si>
    <t xml:space="preserve">011967161</t>
  </si>
  <si>
    <t xml:space="preserve">LOT 14 BLOCK 1 OF BLOCK A DISTRICT LOT 1553 PLAN 4042</t>
  </si>
  <si>
    <t xml:space="preserve">002484811</t>
  </si>
  <si>
    <t xml:space="preserve">LOT 20 BLOCK 7 OF BLOCK A DISTRICT LOT 1553 PLAN 4042</t>
  </si>
  <si>
    <t xml:space="preserve">011945028</t>
  </si>
  <si>
    <t xml:space="preserve">LOT 17 BLOCK 7 OF BLOCK A DISTRICT LOT 1553 PLAN 4042</t>
  </si>
  <si>
    <t xml:space="preserve">011944951</t>
  </si>
  <si>
    <t xml:space="preserve">LOT 10 BLOCK 7 OF BLOCK A DISTRICT LOT 1553 PLAN 4042</t>
  </si>
  <si>
    <t xml:space="preserve">011944854</t>
  </si>
  <si>
    <t xml:space="preserve">LOT 1 BLOCK 7 OF BLOCK A DISTRICT LOT 1553 PLAN 4042</t>
  </si>
  <si>
    <t xml:space="preserve">011944935</t>
  </si>
  <si>
    <t xml:space="preserve">LOT 7 BLOCK 7 OF BLOCK A DISTRICT LOT 1553 PLAN 4042</t>
  </si>
  <si>
    <t xml:space="preserve">011945044</t>
  </si>
  <si>
    <t xml:space="preserve">LOT 19 BLOCK 7 OF BLOCK A DISTRICT LOT 1553 PLAN 4042</t>
  </si>
  <si>
    <t xml:space="preserve">011944862</t>
  </si>
  <si>
    <t xml:space="preserve">LOT 2 BLOCK 7 OF BLOCK A DISTRICT LOT 1553 PLAN 4042</t>
  </si>
  <si>
    <t xml:space="preserve">011945036</t>
  </si>
  <si>
    <t xml:space="preserve">LOT 18 BLOCK 7 OF BLOCK A DISTRICT LOT 1553 PLAN 4042</t>
  </si>
  <si>
    <t xml:space="preserve">011945052</t>
  </si>
  <si>
    <t xml:space="preserve">LOT 22 BLOCK 7 OF BLOCK A DISTRICT LOT 1553 PLAN 4042</t>
  </si>
  <si>
    <t xml:space="preserve">011944927</t>
  </si>
  <si>
    <t xml:space="preserve">LOT 6 BLOCK 7 OF BLOCK A DISTRICT LOT 1553 PLAN 4042</t>
  </si>
  <si>
    <t xml:space="preserve">011944897</t>
  </si>
  <si>
    <t xml:space="preserve">LOT 5 BLOCK 7 OF BLOCK A DISTRICT LOT 1553 PLAN 4042</t>
  </si>
  <si>
    <t xml:space="preserve">011945061</t>
  </si>
  <si>
    <t xml:space="preserve">LOT 23 BLOCK 7 OF BLOCK A DISTRICT LOT 1553 PLAN 4042</t>
  </si>
  <si>
    <t xml:space="preserve">004203411</t>
  </si>
  <si>
    <t xml:space="preserve">LOT 9 BLOCK 7 OF BLOCK A DISTRICT LOT 1553 PLAN 4042</t>
  </si>
  <si>
    <t xml:space="preserve">007239548</t>
  </si>
  <si>
    <t xml:space="preserve">LOT 21 BLOCK 7 OF BLOCK A DISTRICT LOT 1553 PLAN 4042</t>
  </si>
  <si>
    <t xml:space="preserve">011944943</t>
  </si>
  <si>
    <t xml:space="preserve">LOT 8 BLOCK 7 OF BLOCK A DISTRICT LOT 1553 PLAN 4042</t>
  </si>
  <si>
    <t xml:space="preserve">028201965</t>
  </si>
  <si>
    <t xml:space="preserve">LOT A DISTRICT LOT 2192 GROUP 1 NEW WESTMINSTER DISTRICT PLAN BCP44463</t>
  </si>
  <si>
    <t xml:space="preserve">017924642</t>
  </si>
  <si>
    <t xml:space="preserve">LOT 1 BLOCK G DISTRICT LOT 3042 PLAN LMP6478</t>
  </si>
  <si>
    <t xml:space="preserve">008717061</t>
  </si>
  <si>
    <t xml:space="preserve">LOT 11 BLOCK F DISTRICT LOT 3042 PLAN 13160</t>
  </si>
  <si>
    <t xml:space="preserve">008499802</t>
  </si>
  <si>
    <t xml:space="preserve">LOT 11 BLOCK C DISTRICT LOT 3042 PLAN 13712</t>
  </si>
  <si>
    <t xml:space="preserve">004818610</t>
  </si>
  <si>
    <t xml:space="preserve">LOT 14 BLOCK C DISTRICT LOT 3042 PLAN 13713</t>
  </si>
  <si>
    <t xml:space="preserve">002493543</t>
  </si>
  <si>
    <t xml:space="preserve">LOT A BLOCK C DISTRICT LOT 3042 PLAN 18044</t>
  </si>
  <si>
    <t xml:space="preserve">008499829</t>
  </si>
  <si>
    <t xml:space="preserve">LOT 12 BLOCK C DISTRICT LOT 3042 PLAN 13712</t>
  </si>
  <si>
    <t xml:space="preserve">008717044</t>
  </si>
  <si>
    <t xml:space="preserve">LOT 10 BLOCK F DISTRICT LOT 3042 PLAN 13160</t>
  </si>
  <si>
    <t xml:space="preserve">008716994</t>
  </si>
  <si>
    <t xml:space="preserve">LOT 9 BLOCK F DISTRICT LOT 3042 PLAN 13160</t>
  </si>
  <si>
    <t xml:space="preserve">008509123</t>
  </si>
  <si>
    <t xml:space="preserve">LOT 4 BLOCK B DISTRICT LOT 1545 PLAN 13739</t>
  </si>
  <si>
    <t xml:space="preserve">008509085</t>
  </si>
  <si>
    <t xml:space="preserve">LOT 2 BLOCK B DISTRICT LOT 1545 PLAN 13739</t>
  </si>
  <si>
    <t xml:space="preserve">004495683</t>
  </si>
  <si>
    <t xml:space="preserve">LOT 13 BLOCK C DISTRICT LOT 1545 PLAN 13739</t>
  </si>
  <si>
    <t xml:space="preserve">008509662</t>
  </si>
  <si>
    <t xml:space="preserve">LOT 14 BLOCK C DISTRICT LOT 1545 PLAN 13739</t>
  </si>
  <si>
    <t xml:space="preserve">008509107</t>
  </si>
  <si>
    <t xml:space="preserve">LOT 3 BLOCK B DISTRICT LOT 1545 PLAN 13739</t>
  </si>
  <si>
    <t xml:space="preserve">008509069</t>
  </si>
  <si>
    <t xml:space="preserve">LOT 1 BLOCK B DISTRICT LOT 1545 PLAN 13739</t>
  </si>
  <si>
    <t xml:space="preserve">002804859</t>
  </si>
  <si>
    <t xml:space="preserve">LOT 15 BLOCK C DISTRICT LOT 1545 PLAN 13739</t>
  </si>
  <si>
    <t xml:space="preserve">003645851</t>
  </si>
  <si>
    <t xml:space="preserve">LOT 11 BLOCK C DISTRICT LOT 1545 PLAN 13739</t>
  </si>
  <si>
    <t xml:space="preserve">030030081</t>
  </si>
  <si>
    <t xml:space="preserve">LOT 2 DISTRICT LOT 1545 GROUP 1 NEW WESTMINSTER DISTRICT PLAN EPP60150</t>
  </si>
  <si>
    <t xml:space="preserve">008509590</t>
  </si>
  <si>
    <t xml:space="preserve">LOT 10 BLOCK C DISTRICT LOT 1545 PLAN 13739</t>
  </si>
  <si>
    <t xml:space="preserve">008509522</t>
  </si>
  <si>
    <t xml:space="preserve">LOT 8 BLOCK C DISTRICT LOT 1545 PLAN 13739</t>
  </si>
  <si>
    <t xml:space="preserve">008509557</t>
  </si>
  <si>
    <t xml:space="preserve">LOT 9 BLOCK C DISTRICT LOT 1545 PLAN 13739</t>
  </si>
  <si>
    <t xml:space="preserve">009463470</t>
  </si>
  <si>
    <t xml:space="preserve">AMENDED LOT 3 (SEE C27671L) BLOCK 4 DISTRICT LOT 1347 PLAN 9853</t>
  </si>
  <si>
    <t xml:space="preserve">016105168</t>
  </si>
  <si>
    <t xml:space="preserve">LOT G BLOCK 4 DISTRICT LOT 1347 PLAN 22877</t>
  </si>
  <si>
    <t xml:space="preserve">016105141</t>
  </si>
  <si>
    <t xml:space="preserve">LOT E BLOCK 4 DISTRICT LOT 1347 PLAN 22877</t>
  </si>
  <si>
    <t xml:space="preserve">029225108</t>
  </si>
  <si>
    <t xml:space="preserve">LOT 2 BLOCKS 1 AND 4 DISTRICT LOT 1347 GROUP 1 NEW WESTMINSTER DISTRICT PLAN EPP32954</t>
  </si>
  <si>
    <t xml:space="preserve">018818366</t>
  </si>
  <si>
    <t xml:space="preserve">LOT H BLOCK 4 DISTRICT LOT 1347 PLAN LMP17489</t>
  </si>
  <si>
    <t xml:space="preserve">018818391</t>
  </si>
  <si>
    <t xml:space="preserve">LOT J BLOCK 4 DISTRICT LOT 1347 PLAN LMP17489</t>
  </si>
  <si>
    <t xml:space="preserve">018818404</t>
  </si>
  <si>
    <t xml:space="preserve">LOT K BLOCK 4 DISTRICT LOT 1347 PLAN LMP17489</t>
  </si>
  <si>
    <t xml:space="preserve">031885217</t>
  </si>
  <si>
    <t xml:space="preserve">LOT 13 DISTRICT LOT 1347 GROUP 1 NEW WESTMINSTER DISTRICT PLAN EPP119366</t>
  </si>
  <si>
    <t xml:space="preserve">031885225</t>
  </si>
  <si>
    <t xml:space="preserve">LOT 14 DISTRICT LOT 1347 GROUP 1 NEW WESTMINSTER DISTRICT PLAN EPP119366</t>
  </si>
  <si>
    <t xml:space="preserve">031885209</t>
  </si>
  <si>
    <t xml:space="preserve">LOT 12 DISTRICT LOT 1347 GROUP 1 NEW WESTMINSTER DISTRICT PLAN EPP119365</t>
  </si>
  <si>
    <t xml:space="preserve">008008078</t>
  </si>
  <si>
    <t xml:space="preserve">LOT 36 BLOCK C DISTRICT LOT 1426 PLAN 13841</t>
  </si>
  <si>
    <t xml:space="preserve">027293106</t>
  </si>
  <si>
    <t xml:space="preserve">STRATA LOT 1 DISTRICT LOT 1545 GROUP 1 NEW WESTMINSTER DISTRICT STRATA PLAN BCS2585 TOGETHER WITH AN INTEREST IN THE COMMON PROPERTY IN PROPORTION TO THE UNIT ENTITLEMENT OF THE STRATA LOT AS SHOWN ON FORM V</t>
  </si>
  <si>
    <t xml:space="preserve">030030072</t>
  </si>
  <si>
    <t xml:space="preserve">LOT 1 DISTRICT LOT 1545 GROUP 1 NEW WESTMINSTER DISTRICT PLAN EPP60150</t>
  </si>
  <si>
    <t xml:space="preserve">009296212</t>
  </si>
  <si>
    <t xml:space="preserve">LOT 1 BLOCK D DISTRICT LOT 3042 PLAN 10987</t>
  </si>
  <si>
    <t xml:space="preserve">009296263</t>
  </si>
  <si>
    <t xml:space="preserve">LOT 2 BLOCK D DISTRICT LOT 3042 PLAN 10987</t>
  </si>
  <si>
    <t xml:space="preserve">009296344</t>
  </si>
  <si>
    <t xml:space="preserve">LOT 3 BLOCK D DISTRICT LOT 3042 PLAN 10987</t>
  </si>
  <si>
    <t xml:space="preserve">016458249</t>
  </si>
  <si>
    <t xml:space="preserve">LOT B BLOCK 40 DISTRICT LOT 1553 PLAN 22989</t>
  </si>
  <si>
    <t xml:space="preserve">011797509</t>
  </si>
  <si>
    <t xml:space="preserve">LOT 25 DISTRICT LOT 1911 PLAN 4131</t>
  </si>
  <si>
    <t xml:space="preserve">006811311</t>
  </si>
  <si>
    <t xml:space="preserve">LOT 1 BLOCK 40 DISTRICT LOT 1553 PLAN 10542</t>
  </si>
  <si>
    <t xml:space="preserve">011787147</t>
  </si>
  <si>
    <t xml:space="preserve">LOT 1 DISTRICT LOT 1553 PLAN 1948</t>
  </si>
  <si>
    <t xml:space="preserve">011797479</t>
  </si>
  <si>
    <t xml:space="preserve">LOT 22 DISTRICT LOT 1911 PLAN 4131</t>
  </si>
  <si>
    <t xml:space="preserve">016458214</t>
  </si>
  <si>
    <t xml:space="preserve">LOT A BLOCK 40 DISTRICT LOT 1553 PLAN 22989</t>
  </si>
  <si>
    <t xml:space="preserve">009381627</t>
  </si>
  <si>
    <t xml:space="preserve">LOT 2 BLOCK 40 DISTRICT LOT 1553 PLAN 10542</t>
  </si>
  <si>
    <t xml:space="preserve">011797452</t>
  </si>
  <si>
    <t xml:space="preserve">AMENDED LOT 20 (EXPLANATORY PLAN 8641) DISTRICT LOT 1911 PLAN 4131</t>
  </si>
  <si>
    <t xml:space="preserve">016458265</t>
  </si>
  <si>
    <t xml:space="preserve">LOT C BLOCK 40 DISTRICT LOT 1553 PLAN 22989</t>
  </si>
  <si>
    <t xml:space="preserve">025442350</t>
  </si>
  <si>
    <t xml:space="preserve">STRATA LOT 2 DISTRICT LOT 1553 GROUP 1 NEW WESTMINSTER DISTRICT STRATA PLAN BCS12 TOGETHER WITH AN INTEREST IN THE COMMON PROPERTY IN PROPORTION TO THE UNIT ENTITLEMENT OF THE STRATA LOT AS SHOWN ON FORM V</t>
  </si>
  <si>
    <t xml:space="preserve">025442368</t>
  </si>
  <si>
    <t xml:space="preserve">STRATA LOT 3 DISTRICT LOT 1553 GROUP 1 NEW WESTMINSTER DISTRICT STRATA PLAN BCS12 TOGETHER WITH AN INTEREST IN THE COMMON PROPERTY IN PROPORTION TO THE UNIT ENTITLEMENT OF THE STRATA LOT AS SHOWN ON FORM V</t>
  </si>
  <si>
    <t xml:space="preserve">017817307</t>
  </si>
  <si>
    <t xml:space="preserve">LOT B DISTRICT LOT 1553 PLAN LMP4938</t>
  </si>
  <si>
    <t xml:space="preserve">011797487</t>
  </si>
  <si>
    <t xml:space="preserve">LOT 23 DISTRICT LOT 1911 PLAN 4131</t>
  </si>
  <si>
    <t xml:space="preserve">011797461</t>
  </si>
  <si>
    <t xml:space="preserve">AMENDED LOT 21 (EXPLANATORY PLAN 8641) DISTRICT LOT 1911 PLAN 4131</t>
  </si>
  <si>
    <t xml:space="preserve">025442376</t>
  </si>
  <si>
    <t xml:space="preserve">STRATA LOT 4 DISTRICT LOT 1553 GROUP 1 NEW WESTMINSTER DISTRICT STRATA PLAN BCS12 TOGETHER WITH AN INTEREST IN THE COMMON PROPERTY IN PROPORTION TO THE UNIT ENTITLEMENT OF THE STRATA LOT AS SHOWN ON FORM V</t>
  </si>
  <si>
    <t xml:space="preserve">025442341</t>
  </si>
  <si>
    <t xml:space="preserve">STRATA LOT 1 DISTRICT LOT 1553 GROUP 1 NEW WESTMINSTER DISTRICT STRATA PLAN BCS12 TOGETHER WITH AN INTEREST IN THE COMMON PROPERTY IN PROPORTION TO THE UNIT ENTITLEMENT OF THE STRATA LOT AS SHOWN ON FORM V</t>
  </si>
  <si>
    <t xml:space="preserve">011797495</t>
  </si>
  <si>
    <t xml:space="preserve">LOT 24 DISTRICT LOT 1911 PLAN 4131</t>
  </si>
  <si>
    <t xml:space="preserve">011798076</t>
  </si>
  <si>
    <t xml:space="preserve">LOT 37 DISTRICT LOT 1911 PLAN 4131</t>
  </si>
  <si>
    <t xml:space="preserve">011944986</t>
  </si>
  <si>
    <t xml:space="preserve">LOT 13 BLOCK 7 OF BLOCK A DISTRICT LOT 1553 PLAN 4042</t>
  </si>
  <si>
    <t xml:space="preserve">010501240</t>
  </si>
  <si>
    <t xml:space="preserve">BLOCK 20 DISTRICT LOT 1553 PLAN 1948</t>
  </si>
  <si>
    <t xml:space="preserve">014191610</t>
  </si>
  <si>
    <t xml:space="preserve">LOT 33 DISTRICT LOT 1553 PLAN 1948</t>
  </si>
  <si>
    <t xml:space="preserve">014191555</t>
  </si>
  <si>
    <t xml:space="preserve">LOT 22 DISTRICT LOT 1553 PLAN 1948</t>
  </si>
  <si>
    <t xml:space="preserve">012138584</t>
  </si>
  <si>
    <t xml:space="preserve">LOT A (SEE K 57691L) OF LOT 23 DISTRICT LOT 1553 PLAN 1948</t>
  </si>
  <si>
    <t xml:space="preserve">014191539</t>
  </si>
  <si>
    <t xml:space="preserve">LOT 18 DISTRICT LOT 1553 PLAN 1948</t>
  </si>
  <si>
    <t xml:space="preserve">014191547</t>
  </si>
  <si>
    <t xml:space="preserve">LOT 19 DISTRICT LOT 1553 PLAN 1948</t>
  </si>
  <si>
    <t xml:space="preserve">010089209</t>
  </si>
  <si>
    <t xml:space="preserve">LOT 15 DISTRICT LOT 1628 PLAN 8401</t>
  </si>
  <si>
    <t xml:space="preserve">010089276</t>
  </si>
  <si>
    <t xml:space="preserve">LOT 24 DISTRICT LOT 1628 PLAN 8401</t>
  </si>
  <si>
    <t xml:space="preserve">014191695</t>
  </si>
  <si>
    <t xml:space="preserve">ALL THAT PART OF LOT 23 LYING TO THE WEST OF A STRAIGHT LINE BISECTING THE NORTH AND SOUTH BOUNDARIES OF SAID LOT DISTRICT LOT 1553 PLAN 1948</t>
  </si>
  <si>
    <t xml:space="preserve">004293479</t>
  </si>
  <si>
    <t xml:space="preserve">LOT A DISTRICT LOT 1628 PLAN 13818</t>
  </si>
  <si>
    <t xml:space="preserve">006237495</t>
  </si>
  <si>
    <t xml:space="preserve">LOT 16 DISTRICT LOT 1628 PLAN 8401</t>
  </si>
  <si>
    <t xml:space="preserve">011945010</t>
  </si>
  <si>
    <t xml:space="preserve">LOT 16 BLOCK 7 OF BLOCK A DISTRICT LOT 1553 PLAN 4042</t>
  </si>
  <si>
    <t xml:space="preserve">009391452</t>
  </si>
  <si>
    <t xml:space="preserve">LOT B OF LOT 2 DISTRICT LOT 1553 PLAN 10499</t>
  </si>
  <si>
    <t xml:space="preserve">017877547</t>
  </si>
  <si>
    <t xml:space="preserve">LOT A BLOCK 7 OF BLOCK A DISTRICT LOT 1553 PLAN LMP5693</t>
  </si>
  <si>
    <t xml:space="preserve">014191580</t>
  </si>
  <si>
    <t xml:space="preserve">LOT 31 DISTRICT LOT 1553 PLAN 1948</t>
  </si>
  <si>
    <t xml:space="preserve">011945001</t>
  </si>
  <si>
    <t xml:space="preserve">LOT 15 BLOCK 7 OF BLOCK A DISTRICT LOT 1553 PLAN 4042</t>
  </si>
  <si>
    <t xml:space="preserve">014191571</t>
  </si>
  <si>
    <t xml:space="preserve">LOT 28 DISTRICT LOT 1553 PLAN 1948</t>
  </si>
  <si>
    <t xml:space="preserve">010501495</t>
  </si>
  <si>
    <t xml:space="preserve">BLOCK 21 DISTRICT LOT 1553 PLAN 1948</t>
  </si>
  <si>
    <t xml:space="preserve">008017573</t>
  </si>
  <si>
    <t xml:space="preserve">LOT D DISTRICT LOT 1628 PLAN 13818</t>
  </si>
  <si>
    <t xml:space="preserve">008017565</t>
  </si>
  <si>
    <t xml:space="preserve">LOT C DISTRICT LOT 1628 PLAN 13818</t>
  </si>
  <si>
    <t xml:space="preserve">014191598</t>
  </si>
  <si>
    <t xml:space="preserve">LOT 30 DISTRICT LOT 1553 PLAN 1948</t>
  </si>
  <si>
    <t xml:space="preserve">010089233</t>
  </si>
  <si>
    <t xml:space="preserve">LOT 23 DISTRICT LOT 1628 PLAN 8401</t>
  </si>
  <si>
    <t xml:space="preserve">013474146</t>
  </si>
  <si>
    <t xml:space="preserve">THE WEST 140.84 FEET OF LOT B (REFERENCE PLAN 1003) BLOCK 45 DISTRICT LOT 1553 PLAN 1948</t>
  </si>
  <si>
    <t xml:space="preserve">014191601</t>
  </si>
  <si>
    <t xml:space="preserve">LOT 32 DISTRICT LOT 1553 PLAN 1948</t>
  </si>
  <si>
    <t xml:space="preserve">014191628</t>
  </si>
  <si>
    <t xml:space="preserve">LOT 34 DISTRICT LOT 1553 PLAN 1948</t>
  </si>
  <si>
    <t xml:space="preserve">014191504</t>
  </si>
  <si>
    <t xml:space="preserve">LOT 15 DISTRICT LOT 1553 PLAN 1948</t>
  </si>
  <si>
    <t xml:space="preserve">011944994</t>
  </si>
  <si>
    <t xml:space="preserve">LOT 14 BLOCK 7 OF BLOCK A DISTRICT LOT 1553 PLAN 4042</t>
  </si>
  <si>
    <t xml:space="preserve">008017549</t>
  </si>
  <si>
    <t xml:space="preserve">LOT B DISTRICT LOT 1628 PLAN 13818</t>
  </si>
  <si>
    <t xml:space="preserve">023724251</t>
  </si>
  <si>
    <t xml:space="preserve">LOT C DISTRICT LOT 1553 GROUP 1 NEW WESTMINSTER DISTRICT PLAN LMP32623</t>
  </si>
  <si>
    <t xml:space="preserve">011086645</t>
  </si>
  <si>
    <t xml:space="preserve">LOT 29 DISTRICT LOT 1553 PLAN 1948</t>
  </si>
  <si>
    <t xml:space="preserve">014191512</t>
  </si>
  <si>
    <t xml:space="preserve">LOT 16 DISTRICT LOT 1553 PLAN 1948</t>
  </si>
  <si>
    <t xml:space="preserve">003613011</t>
  </si>
  <si>
    <t xml:space="preserve">AMENDED LOT 25 (SEE 219152L) DISTRICT LOT 1553 PLAN 1948</t>
  </si>
  <si>
    <t xml:space="preserve">006842127</t>
  </si>
  <si>
    <t xml:space="preserve">LOT D BLOCKS 2 AND 45 DISTRICT LOT 1553 PLAN 20177</t>
  </si>
  <si>
    <t xml:space="preserve">003357384</t>
  </si>
  <si>
    <t xml:space="preserve">LOT 24 DISTRICT LOT 1553 PLAN 1948</t>
  </si>
  <si>
    <t xml:space="preserve">010089411</t>
  </si>
  <si>
    <t xml:space="preserve">LOT G (SEE M 24656L) DISTRICT LOT 1628 PLAN 8401</t>
  </si>
  <si>
    <t xml:space="preserve">024593036</t>
  </si>
  <si>
    <t xml:space="preserve">LOT A DISTRICT LOT 1553 GROUP 1 NEW WESTMINSTER DISTRICT PLAN LMP43361</t>
  </si>
  <si>
    <t xml:space="preserve">008746257</t>
  </si>
  <si>
    <t xml:space="preserve">LOT D BLOCK 37 DISTRICT LOT 1553 PLAN 13062</t>
  </si>
  <si>
    <t xml:space="preserve">014191709</t>
  </si>
  <si>
    <t xml:space="preserve">THAT PART OF LOT 35 IN EXPLANATORY PLAN 5712 DISTRICT LOT 1553 PLAN 1948</t>
  </si>
  <si>
    <t xml:space="preserve">008746249</t>
  </si>
  <si>
    <t xml:space="preserve">LOT C BLOCK 37 DISTRICT LOT 1553 PLAN 13062</t>
  </si>
  <si>
    <t xml:space="preserve">016284712</t>
  </si>
  <si>
    <t xml:space="preserve">LOT E DISTRICT LOT 1553 PLAN 22929</t>
  </si>
  <si>
    <t xml:space="preserve">004217071</t>
  </si>
  <si>
    <t xml:space="preserve">LOT A  BLOCK 41  DISTRICT LOT 1553  PLAN 13949</t>
  </si>
  <si>
    <t xml:space="preserve">006842348</t>
  </si>
  <si>
    <t xml:space="preserve">LOT I DISTRICT LOT 1628 PLAN 20178</t>
  </si>
  <si>
    <t xml:space="preserve">011797428</t>
  </si>
  <si>
    <t xml:space="preserve">THE NORTH 1/2 OF LOT 17 DISTRICT LOT 1911 PLAN 4131</t>
  </si>
  <si>
    <t xml:space="preserve">011071991</t>
  </si>
  <si>
    <t xml:space="preserve">LOT 12 DISTRICT LOT 1553 PLAN 1948</t>
  </si>
  <si>
    <t xml:space="preserve">006842283</t>
  </si>
  <si>
    <t xml:space="preserve">LOT H DISTRICT LOT 1628 PLAN 20178</t>
  </si>
  <si>
    <t xml:space="preserve">011797355</t>
  </si>
  <si>
    <t xml:space="preserve">LOT 7 DISTRICT LOT 1911 PLAN 4131</t>
  </si>
  <si>
    <t xml:space="preserve">008873950</t>
  </si>
  <si>
    <t xml:space="preserve">LOT B BLOCK 44 DISTRICT LOT 1553 PLAN 12516</t>
  </si>
  <si>
    <t xml:space="preserve">008539723</t>
  </si>
  <si>
    <t xml:space="preserve">LOT 3 DISTRICT LOTS 1911 AND 1553 PLAN 13591</t>
  </si>
  <si>
    <t xml:space="preserve">017893208</t>
  </si>
  <si>
    <t xml:space="preserve">LOT H DISTRICT LOT 1553 PLAN LMP5818</t>
  </si>
  <si>
    <t xml:space="preserve">010842080</t>
  </si>
  <si>
    <t xml:space="preserve">LOT 1 DISTRICT LOT 1911 PLAN 4131</t>
  </si>
  <si>
    <t xml:space="preserve">011797312</t>
  </si>
  <si>
    <t xml:space="preserve">LOT 2 DISTRICT LOT 1911 PLAN 4131</t>
  </si>
  <si>
    <t xml:space="preserve">011798122</t>
  </si>
  <si>
    <t xml:space="preserve">LOT 41 DISTRICT LOT 1911 PLAN 4131</t>
  </si>
  <si>
    <t xml:space="preserve">008746320</t>
  </si>
  <si>
    <t xml:space="preserve">LOT G BLOCK 37 DISTRICT LOT 1553 PLAN 13062</t>
  </si>
  <si>
    <t xml:space="preserve">005829046</t>
  </si>
  <si>
    <t xml:space="preserve">LOT B BLOCK 43 DISTRICT LOT 1553 PLAN 11107</t>
  </si>
  <si>
    <t xml:space="preserve">004353684</t>
  </si>
  <si>
    <t xml:space="preserve">LOT 1 BLOCK 45 DISTRICT LOT 1553 PLAN 13115</t>
  </si>
  <si>
    <t xml:space="preserve">008539774</t>
  </si>
  <si>
    <t xml:space="preserve">LOT 4 DISTRICT LOTS 1911 AND 1553 PLAN 13591</t>
  </si>
  <si>
    <t xml:space="preserve">011797371</t>
  </si>
  <si>
    <t xml:space="preserve">LOT 10 DISTRICT LOT 1911 PLAN 4131</t>
  </si>
  <si>
    <t xml:space="preserve">008720193</t>
  </si>
  <si>
    <t xml:space="preserve">LOT A (SEE D30156L) BLOCK 4 DISTRICT LOT 1628 PLAN 5904</t>
  </si>
  <si>
    <t xml:space="preserve">010667334</t>
  </si>
  <si>
    <t xml:space="preserve">BLOCK 5 DISTRICT LOT 1553 PLAN 1948</t>
  </si>
  <si>
    <t xml:space="preserve">010822631</t>
  </si>
  <si>
    <t xml:space="preserve">AMENDED LOT 6 (SEE 173947L) DISTRICT LOT 1628 PLAN 6767</t>
  </si>
  <si>
    <t xml:space="preserve">008873925</t>
  </si>
  <si>
    <t xml:space="preserve">LOT A BLOCK 44 DISTRICT LOT 1553 PLAN 12516</t>
  </si>
  <si>
    <t xml:space="preserve">008202028</t>
  </si>
  <si>
    <t xml:space="preserve">THE SOUTH 1/2 OF BLOCK 17 DISTRICT LOT 1911 PLAN 4131</t>
  </si>
  <si>
    <t xml:space="preserve">008031355</t>
  </si>
  <si>
    <t xml:space="preserve">LOT A (REFERENCE PLAN 2223) BLOCK 1 DISTRICT LOT 1628 PLAN 5904</t>
  </si>
  <si>
    <t xml:space="preserve">008746371</t>
  </si>
  <si>
    <t xml:space="preserve">LOT M BLOCK 37 DISTRICT LOT 1553 PLAN 13062</t>
  </si>
  <si>
    <t xml:space="preserve">017893194</t>
  </si>
  <si>
    <t xml:space="preserve">LOT G DISTRICT LOT 1553 PLAN LMP5818</t>
  </si>
  <si>
    <t xml:space="preserve">009391461</t>
  </si>
  <si>
    <t xml:space="preserve">LOT C OF LOT 2 DISTRICT LOT 1553 PLAN 10499</t>
  </si>
  <si>
    <t xml:space="preserve">011041161</t>
  </si>
  <si>
    <t xml:space="preserve">LOT 3 DISTRICT LOT 1628 PLAN 5904</t>
  </si>
  <si>
    <t xml:space="preserve">007989067</t>
  </si>
  <si>
    <t xml:space="preserve">LOT B BLOCK 41 DISTRICT LOT 1553 PLAN 13949</t>
  </si>
  <si>
    <t xml:space="preserve">014191644</t>
  </si>
  <si>
    <t xml:space="preserve">LOT 39 DISTRICT LOT 1553 PLAN 1948</t>
  </si>
  <si>
    <t xml:space="preserve">008746389</t>
  </si>
  <si>
    <t xml:space="preserve">LOT N BLOCK 37 DISTRICT LOT 1553 PLAN 13062</t>
  </si>
  <si>
    <t xml:space="preserve">010089098</t>
  </si>
  <si>
    <t xml:space="preserve">LOT 11 DISTRICT LOT 1628 PLAN 8401</t>
  </si>
  <si>
    <t xml:space="preserve">003125271</t>
  </si>
  <si>
    <t xml:space="preserve">LOT E BLOCK 43 DISTRICT LOT 1553 PLAN 11107</t>
  </si>
  <si>
    <t xml:space="preserve">011797380</t>
  </si>
  <si>
    <t xml:space="preserve">LOT 15 DISTRICT LOT 1911 PLAN 4131</t>
  </si>
  <si>
    <t xml:space="preserve">017893216</t>
  </si>
  <si>
    <t xml:space="preserve">LOT I DISTRICT LOT 1553 PLAN LMP5818</t>
  </si>
  <si>
    <t xml:space="preserve">008539588</t>
  </si>
  <si>
    <t xml:space="preserve">LOT 2 DISTRICT LOTS 1911 AND 1553 PLAN 13591</t>
  </si>
  <si>
    <t xml:space="preserve">017893224</t>
  </si>
  <si>
    <t xml:space="preserve">LOT J DISTRICT LOT 1553 PLAN LMP5818</t>
  </si>
  <si>
    <t xml:space="preserve">031779867</t>
  </si>
  <si>
    <t xml:space="preserve">LOT 1 BLOCK 37 DISTRICT LOT 1553 GROUP 1 NEW WESTMINSTER DISTRICT PLAN EPP121467</t>
  </si>
  <si>
    <t xml:space="preserve">008746265</t>
  </si>
  <si>
    <t xml:space="preserve">LOT E BLOCK 37 DISTRICT LOT 1553 PLAN 13062</t>
  </si>
  <si>
    <t xml:space="preserve">010731067</t>
  </si>
  <si>
    <t xml:space="preserve">AMENDED LOT 8 (SEE 173946L) DISTRICT LOT 1628 PLAN 6767</t>
  </si>
  <si>
    <t xml:space="preserve">011797363</t>
  </si>
  <si>
    <t xml:space="preserve">LOT 8 DISTRICT LOT 1911 PLAN 4131</t>
  </si>
  <si>
    <t xml:space="preserve">007693311</t>
  </si>
  <si>
    <t xml:space="preserve">LOT 14 DISTRICT LOT 1911 PLAN 4131</t>
  </si>
  <si>
    <t xml:space="preserve">009155881</t>
  </si>
  <si>
    <t xml:space="preserve">LOT C BLOCK 43 DISTRICT LOT 1553 PLAN 11107</t>
  </si>
  <si>
    <t xml:space="preserve">007989075</t>
  </si>
  <si>
    <t xml:space="preserve">LOT C BLOCK 41 DISTRICT LOT 1553 PLAN 13949</t>
  </si>
  <si>
    <t xml:space="preserve">017893160</t>
  </si>
  <si>
    <t xml:space="preserve">LOT F DISTRICT LOT 1553 PLAN LMP5818</t>
  </si>
  <si>
    <t xml:space="preserve">014191687</t>
  </si>
  <si>
    <t xml:space="preserve">THE WEST 33 FEET OF LOT 13 DISTRICT LOT 1553 PLAN 1948</t>
  </si>
  <si>
    <t xml:space="preserve">008746346</t>
  </si>
  <si>
    <t xml:space="preserve">LOT J BLOCK 37 DISTRICT LOT 1553 PLAN 13062</t>
  </si>
  <si>
    <t xml:space="preserve">011434678</t>
  </si>
  <si>
    <t xml:space="preserve">LOT 18 DISTRICT LOT 1911 PLAN 4131</t>
  </si>
  <si>
    <t xml:space="preserve">009155911</t>
  </si>
  <si>
    <t xml:space="preserve">LOT D BLOCK 43 DISTRICT LOT 1553 PLAN 11107</t>
  </si>
  <si>
    <t xml:space="preserve">010089144</t>
  </si>
  <si>
    <t xml:space="preserve">LOT 13 DISTRICT LOT 1628 PLAN 8401</t>
  </si>
  <si>
    <t xml:space="preserve">008746362</t>
  </si>
  <si>
    <t xml:space="preserve">LOT L BLOCK 37 DISTRICT LOT 1553 PLAN 13062</t>
  </si>
  <si>
    <t xml:space="preserve">004594924</t>
  </si>
  <si>
    <t xml:space="preserve">LOT F (SEE M8034L) DISTRICT LOT 1628 PLAN 5981</t>
  </si>
  <si>
    <t xml:space="preserve">011679212</t>
  </si>
  <si>
    <t xml:space="preserve">LOT 16 DISTRICT LOT 1911 PLAN 4131</t>
  </si>
  <si>
    <t xml:space="preserve">002627591</t>
  </si>
  <si>
    <t xml:space="preserve">LOT B BLOCK 37 DISTRICT LOT 1553 PLAN 13062</t>
  </si>
  <si>
    <t xml:space="preserve">011797436</t>
  </si>
  <si>
    <t xml:space="preserve">LOT 19 DISTRICT LOT 1911 PLAN 4131</t>
  </si>
  <si>
    <t xml:space="preserve">008746354</t>
  </si>
  <si>
    <t xml:space="preserve">LOT K BLOCK 37 DISTRICT LOT 1553 PLAN 13062</t>
  </si>
  <si>
    <t xml:space="preserve">008539529</t>
  </si>
  <si>
    <t xml:space="preserve">LOT 1 DISTRICT LOT 1553 PLAN 13591</t>
  </si>
  <si>
    <t xml:space="preserve">010822640</t>
  </si>
  <si>
    <t xml:space="preserve">LOT 9 DISTRICT LOT 1628 PLAN 6767</t>
  </si>
  <si>
    <t xml:space="preserve">010089055</t>
  </si>
  <si>
    <t xml:space="preserve">LOT 10 DISTRICT LOT 1628 PLAN 8401</t>
  </si>
  <si>
    <t xml:space="preserve">008714959</t>
  </si>
  <si>
    <t xml:space="preserve">LOT 9 DISTRICT LOT 1911 PLAN 4131</t>
  </si>
  <si>
    <t xml:space="preserve">024593044</t>
  </si>
  <si>
    <t xml:space="preserve">LOT B DISTRICT LOT 1553 GROUP 1 NEW WESTMINSTER DISTRICT PLAN LMP43361</t>
  </si>
  <si>
    <t xml:space="preserve">002725827</t>
  </si>
  <si>
    <t xml:space="preserve">LOT A BLOCK 2 DISTRICT LOT 1628 PLAN 5981</t>
  </si>
  <si>
    <t xml:space="preserve">010089110</t>
  </si>
  <si>
    <t xml:space="preserve">LOT 12 DISTRICT LOT 1628 PLAN 8401</t>
  </si>
  <si>
    <t xml:space="preserve">FEDERAL</t>
  </si>
  <si>
    <t xml:space="preserve">010089161</t>
  </si>
  <si>
    <t xml:space="preserve">LOT 14 DISTRICT LOT 1628 PLAN 8401</t>
  </si>
  <si>
    <t xml:space="preserve">011967099</t>
  </si>
  <si>
    <t xml:space="preserve">LOT D (SEE N 50430L) BLOCK 2 OF BLOCK A DISTRICT LOT 1553 PLAN 4042</t>
  </si>
  <si>
    <t xml:space="preserve">008746222</t>
  </si>
  <si>
    <t xml:space="preserve">LOT A BLOCK 37 DISTRICT LOT 1553 PLAN 13062</t>
  </si>
  <si>
    <t xml:space="preserve">008746338</t>
  </si>
  <si>
    <t xml:space="preserve">LOT H BLOCK 37 DISTRICT LOT 1553 PLAN 13062</t>
  </si>
  <si>
    <t xml:space="preserve">008746281</t>
  </si>
  <si>
    <t xml:space="preserve">LOT F BLOCK 37 DISTRICT LOT 1553 PLAN 13062</t>
  </si>
  <si>
    <t xml:space="preserve">011798343</t>
  </si>
  <si>
    <t xml:space="preserve">LOT B (EXPLANATORY PLAN 6577) OF LOT 4 DISTRICT LOT 1911 PLAN 4131</t>
  </si>
  <si>
    <t xml:space="preserve">014191466</t>
  </si>
  <si>
    <t xml:space="preserve">LOT 7 DISTRICT LOT 1553 PLAN 1948</t>
  </si>
  <si>
    <t xml:space="preserve">009844082</t>
  </si>
  <si>
    <t xml:space="preserve">LOT 10 DISTRICT LOT 1553 PLAN 1948</t>
  </si>
  <si>
    <t xml:space="preserve">007576404</t>
  </si>
  <si>
    <t xml:space="preserve">BLOCK 9 DISTRICT LOT 1553 PLAN 1948</t>
  </si>
  <si>
    <t xml:space="preserve">014191474</t>
  </si>
  <si>
    <t xml:space="preserve">LOT 8 DISTRICT LOT 1553 PLAN 1948</t>
  </si>
  <si>
    <t xml:space="preserve">011797347</t>
  </si>
  <si>
    <t xml:space="preserve">LOT 6 DISTRICT LOT 1911 PLAN 4131</t>
  </si>
  <si>
    <t xml:space="preserve">011797321</t>
  </si>
  <si>
    <t xml:space="preserve">LOT 3 DISTRICT LOT 1911 PLAN 4131</t>
  </si>
  <si>
    <t xml:space="preserve">011797339</t>
  </si>
  <si>
    <t xml:space="preserve">LOT 5 DISTRICT LOT 1911 PLAN 4131</t>
  </si>
  <si>
    <t xml:space="preserve">014191482</t>
  </si>
  <si>
    <t xml:space="preserve">LOT 11 DISTRICT LOT 1553 PLAN 1948</t>
  </si>
  <si>
    <t xml:space="preserve">014191458</t>
  </si>
  <si>
    <t xml:space="preserve">LOT 6 DISTRICT LOT 1553 PLAN 1948</t>
  </si>
  <si>
    <t xml:space="preserve">011745762</t>
  </si>
  <si>
    <t xml:space="preserve">LOT C (EXPLANATORY PLAN 6577) OF LOT 4 DISTRICT LOT 1911 PLAN 4131</t>
  </si>
  <si>
    <t xml:space="preserve">014191491</t>
  </si>
  <si>
    <t xml:space="preserve">LOT 14 DISTRICT LOT 1553 PLAN 1948</t>
  </si>
  <si>
    <t xml:space="preserve">014191521</t>
  </si>
  <si>
    <t xml:space="preserve">LOT 17 DISTRICT LOT 1553 PLAN 1948</t>
  </si>
  <si>
    <t xml:space="preserve">009324691</t>
  </si>
  <si>
    <t xml:space="preserve">LOT B DISTRICT LOT 1911 PLAN 10664</t>
  </si>
  <si>
    <t xml:space="preserve">011798084</t>
  </si>
  <si>
    <t xml:space="preserve">LOT 38 DISTRICT LOT 1911 PLAN 4131</t>
  </si>
  <si>
    <t xml:space="preserve">011798114</t>
  </si>
  <si>
    <t xml:space="preserve">LOT 40 DISTRICT LOT 1911 PLAN 4131</t>
  </si>
  <si>
    <t xml:space="preserve">011798106</t>
  </si>
  <si>
    <t xml:space="preserve">LOT 39 DISTRICT LOT 1911 PLAN 4131</t>
  </si>
  <si>
    <t xml:space="preserve">011798246</t>
  </si>
  <si>
    <t xml:space="preserve">LOT 51 DISTRICT LOT 1911 PLAN 4131</t>
  </si>
  <si>
    <t xml:space="preserve">011798238</t>
  </si>
  <si>
    <t xml:space="preserve">AMENDED LOT 49 (SEE 13645L) DISTRICT LOT 1911 PLAN 4131</t>
  </si>
  <si>
    <t xml:space="preserve">011798165</t>
  </si>
  <si>
    <t xml:space="preserve">AMENDED LOT 44 (SEE 70370L) DISTRICT LOT 1911 PLAN 4131</t>
  </si>
  <si>
    <t xml:space="preserve">011798157</t>
  </si>
  <si>
    <t xml:space="preserve">AMENDED LOT 43 (SEE 70370L) DISTRICT LOT 1911 PLAN 4131</t>
  </si>
  <si>
    <t xml:space="preserve">027895301</t>
  </si>
  <si>
    <t xml:space="preserve">LOT 1 DISTRICT LOT 1412 GROUP 1 NEW WESTMINSTER DISTRICT PLAN BCP40660</t>
  </si>
  <si>
    <t xml:space="preserve">011967030</t>
  </si>
  <si>
    <t xml:space="preserve">LOT 28 BLOCK 2 OF BLOCK A DISTRICT LOT 1553 PLAN 4042</t>
  </si>
  <si>
    <t xml:space="preserve">011967056</t>
  </si>
  <si>
    <t xml:space="preserve">LOT 29 BLOCK 2 OF BLOCK A DISTRICT LOT 1553 PLAN 4042</t>
  </si>
  <si>
    <t xml:space="preserve">011966785</t>
  </si>
  <si>
    <t xml:space="preserve">LOT 32 BLOCK 2 OF BLOCK A DISTRICT LOT 1553 PLAN 4042</t>
  </si>
  <si>
    <t xml:space="preserve">011966823</t>
  </si>
  <si>
    <t xml:space="preserve">LOT 5 BLOCK 2 OF BLOCK A DISTRICT LOT 1553 PLAN 4042</t>
  </si>
  <si>
    <t xml:space="preserve">015203433</t>
  </si>
  <si>
    <t xml:space="preserve">LOT G BLOCK 2 DISTRICT LOT 1552 PLAN 22559</t>
  </si>
  <si>
    <t xml:space="preserve">011966751</t>
  </si>
  <si>
    <t xml:space="preserve">LOT 30 BLOCK 2 OF BLOCK A DISTRICT LOT 1553 PLAN 4042</t>
  </si>
  <si>
    <t xml:space="preserve">011966807</t>
  </si>
  <si>
    <t xml:space="preserve">LOT 4 BLOCK 2 OF BLOCK A DISTRICT LOT 1553 PLAN 4042</t>
  </si>
  <si>
    <t xml:space="preserve">011966734</t>
  </si>
  <si>
    <t xml:space="preserve">LOT 3 BLOCK 2 OF BLOCK A DISTRICT LOT 1553 PLAN 4042</t>
  </si>
  <si>
    <t xml:space="preserve">011967200</t>
  </si>
  <si>
    <t xml:space="preserve">LOT 16 BLOCK 1 OF BLOCK A DISTRICT LOT 1553 PLAN 4042</t>
  </si>
  <si>
    <t xml:space="preserve">027144593</t>
  </si>
  <si>
    <t xml:space="preserve">LOT C DISTRICT LOT 6014 GROUP 1 NEW WESTMINSTER DISTRICT PLAN BCP31282</t>
  </si>
  <si>
    <t xml:space="preserve">027144607</t>
  </si>
  <si>
    <t xml:space="preserve">LOT D DISTRICT LOT 6014 GROUP 1 NEW WESTMINSTER DISTRICT PLAN BCP31282</t>
  </si>
  <si>
    <t xml:space="preserve">015980413</t>
  </si>
  <si>
    <t xml:space="preserve">LOT D (REFERENCE PLAN 2687) DISTRICT LOT 494 GROUP 1 NEW WESTMINSTER DISTRICT</t>
  </si>
  <si>
    <t xml:space="preserve">015898865</t>
  </si>
  <si>
    <t xml:space="preserve">LOT A (EXPLANATORY PLAN 3356) DISTRICT LOT 2958 GROUP 1 NEW WESTMINSTER DISTRICT</t>
  </si>
  <si>
    <t xml:space="preserve">015898890</t>
  </si>
  <si>
    <t xml:space="preserve">LOT C (REFERENCE PLAN 3581) DISTRICT LOT 2958 GROUP 1 NEW WESTMINSTER DISTRICT</t>
  </si>
  <si>
    <t xml:space="preserve">025601814</t>
  </si>
  <si>
    <t xml:space="preserve">PARCEL I DISTRICT LOT 1545 GROUP 1 NEW WESTMINSTER DISTRICT PLAN BCP3834</t>
  </si>
  <si>
    <t xml:space="preserve">029285682</t>
  </si>
  <si>
    <t xml:space="preserve">PARCEL A (BEING A CONSOLIDATION OF LOTS 3 AND 4, SEE CA3589328 BLOCK 7 OF BLOCK A DISTRICT LOT 1553 GROUP 1 NEW WESTMINSTER DISTRICT PLAN 4042</t>
  </si>
  <si>
    <t xml:space="preserve">008295832</t>
  </si>
  <si>
    <t xml:space="preserve">BLOCK D (EXPLANATORY PLAN 4496) DISTRICT LOT 2958 GROUP 1 NEW WESTMINSTER DISTRICT</t>
  </si>
  <si>
    <t xml:space="preserve">015940861</t>
  </si>
  <si>
    <t xml:space="preserve">LOT 1 (EXPLANATORY PLAN 4750) OF LOT A (EXPLANATORY PLAN 3489) DISTRICT LOT 1545 GROUP 1 NEW WESTMINSTER DISTRICT</t>
  </si>
  <si>
    <t xml:space="preserve">014191750</t>
  </si>
  <si>
    <t xml:space="preserve">LOT B (REFERENCE PLAN 1003), EXCEPT (A) THE WEST 140.84 FEET AND (B) PART IN PLAN 13115, OF LOT 45 DISTRICT LOT 1553 PLAN 1948</t>
  </si>
  <si>
    <t xml:space="preserve">014191741</t>
  </si>
  <si>
    <t xml:space="preserve">LOT 44, EXCEPT PART IN PLAN 12516, DISTRICT LOT 1553 PLAN 1948</t>
  </si>
  <si>
    <t xml:space="preserve">008666385</t>
  </si>
  <si>
    <t xml:space="preserve">AMENDED LOT 7 (SEE C27673L) EXCEPT: PART ON HIGHWAY PLAN 158 BLOCK 4 DISTRICT LOT 1347 PLAN 9853</t>
  </si>
  <si>
    <t xml:space="preserve">015931790</t>
  </si>
  <si>
    <t xml:space="preserve">LOT E (REFERENCE PLAN 2906) GROUP 1 NEW WESTMINSTER DISTRICT EXCEPT PORTIONS IN PLANS 11286 AND 11869 DISTRICT LOT 1628</t>
  </si>
  <si>
    <t xml:space="preserve">007093853</t>
  </si>
  <si>
    <t xml:space="preserve">BLOCK 13 EXCEPT THE WEST 33 FEET DISTRICT LOT 1553 PLAN 1948</t>
  </si>
  <si>
    <t xml:space="preserve">009463721</t>
  </si>
  <si>
    <t xml:space="preserve">LOT 6, EXCEPT: PART ON HIGHWAY PLAN 158 BLOCK 4 DISTRICT LOT 1347 PLAN 9853</t>
  </si>
  <si>
    <t xml:space="preserve">003560511</t>
  </si>
  <si>
    <t xml:space="preserve">LOT A, EXCEPT PART IN PLAN 14029 BLOCK C DISTRICT LOT 3042 PLAN 12816</t>
  </si>
  <si>
    <t xml:space="preserve">011798017</t>
  </si>
  <si>
    <t xml:space="preserve">LOT 33, EXCEPT PART IN REFERENCE PLAN 2763 DISTRICT LOT 1911 PLAN 4131</t>
  </si>
  <si>
    <t xml:space="preserve">004812000</t>
  </si>
  <si>
    <t xml:space="preserve">LOT 13, EXCEPT PART IN PLAN LMP13463 BLOCKS B, E AND F DISTRICT LOT 492 PLAN 13685</t>
  </si>
  <si>
    <t xml:space="preserve">011966726</t>
  </si>
  <si>
    <t xml:space="preserve">LOT 2, EXCEPT PART IN PLAN VAP23130 BLOCK 2 OF BLOCK A DISTRICT LOT 1553 PLAN 4042</t>
  </si>
  <si>
    <t xml:space="preserve">006189130</t>
  </si>
  <si>
    <t xml:space="preserve">LOT 14, EXCEPT PART IN PLAN 22279, BLOCK 1 DISTRICT LOT 490 PLAN 7806</t>
  </si>
  <si>
    <t xml:space="preserve">007671318</t>
  </si>
  <si>
    <t xml:space="preserve">LOT 38, EXCEPT PART IN PLAN 11946, BLOCK 6 DISTRICT LOT 490 PLAN 11393</t>
  </si>
  <si>
    <t xml:space="preserve">011751401</t>
  </si>
  <si>
    <t xml:space="preserve">LOT 168, EXCEPT PART IN PLAN LMP22078, BLOCK E DISTRICT LOT 492 PLAN 21871</t>
  </si>
  <si>
    <t xml:space="preserve">007408625</t>
  </si>
  <si>
    <t xml:space="preserve">LOT A (EXPLANATORY PLAN 9162), EXCEPT PART IN PLAN 12746, OF LOT 33 BLOCK 2 OF BLOCK A DISTRICT LOT 1553 PLAN 4042</t>
  </si>
  <si>
    <t xml:space="preserve">007249055</t>
  </si>
  <si>
    <t xml:space="preserve">LOT B EXCEPT; PART SUBDIVIDED BY PLAN LMP6478, BLOCK G DISRICT LOT 3042 PLAN 17838</t>
  </si>
  <si>
    <t xml:space="preserve">011967072</t>
  </si>
  <si>
    <t xml:space="preserve">LOT 33, EXCEPT PART IN EXPLANATORY PLAN 9162, BLOCK 2 OF BLOCK A DISTRICT LOT 1553 PLAN 4042</t>
  </si>
  <si>
    <t xml:space="preserve">009083944</t>
  </si>
  <si>
    <t xml:space="preserve">LOT 22 EXCEPT: PART SUBDIVIDED BY PLAN LMP19967, BLOCK 8 DISTRICT LOT 490 PLAN 11393</t>
  </si>
  <si>
    <t xml:space="preserve">004041097</t>
  </si>
  <si>
    <t xml:space="preserve">LOT 4, EXCEPT PARCEL A (REFERENCE PLAN 1836) DISTRICT LOT 1628 PLAN 5904</t>
  </si>
  <si>
    <t xml:space="preserve">009086960</t>
  </si>
  <si>
    <t xml:space="preserve">LOT A, EXCEPT PART IN EXPLANATORY PLAN 11307 BLOCK 3 DISTRICT LOT 490 PLAN 11667</t>
  </si>
  <si>
    <t xml:space="preserve">011875071</t>
  </si>
  <si>
    <t xml:space="preserve">LOT 2, EXCEPT PART IN PLAN BCP27043 DISTRICT LOT 6015 GROUP 1 NEW WESTMINSTER DISTRICT PLAN 21899</t>
  </si>
  <si>
    <t xml:space="preserve">014191717</t>
  </si>
  <si>
    <t xml:space="preserve">LOT 35, EXCEPT PART IN EXPLANATORY PLAN 5712, DISTRICT LOT 1553 PLAN 1948</t>
  </si>
  <si>
    <t xml:space="preserve">025784111</t>
  </si>
  <si>
    <t xml:space="preserve">PARCEL 1 EXCEPT: PART SUBDIVIDED BY PLAN BCP9907 AND BCP27466; BLOCK A DISTRICT LOT 492 GROUP 1 NEW WESTMINSTER DISTRICT PLAN BCP8069</t>
  </si>
  <si>
    <t xml:space="preserve">005223415</t>
  </si>
  <si>
    <t xml:space="preserve">LOT 10 EXCEPT PART DEDICATED FOR ROAD ON PLAN LMP10011, BLOCK 4 OF BLOCK A DISTRICT LOT 1553 PLAN 4042</t>
  </si>
  <si>
    <t xml:space="preserve">011641673</t>
  </si>
  <si>
    <t xml:space="preserve">THAT PART OF BLOCK 15, LYING TO THE EAST OF THE DEDICATED ROAD DISTRICT LOT 1552 PLAN 4330 EXCEPT PLAN BCP45634</t>
  </si>
  <si>
    <t xml:space="preserve">011797681</t>
  </si>
  <si>
    <t xml:space="preserve">LOT 28, EXCEPT PART IN EXPLANATORY PLAN 5693, DISTRICT LOT 1911 PLAN 4131</t>
  </si>
  <si>
    <t xml:space="preserve">015869563</t>
  </si>
  <si>
    <t xml:space="preserve">THE SURFACE OF LOT 4051 SURVEYED AS "EMERALD NO 1", MINERAL CLAIM, GROUP 1 NEW WESTMINSTER DISTRICT EXCEPT PORTIONS WITHIN THE LIMITS OF DISTRICT LOTS 2906, 2447 AND 2619 BUT INCLUDING THE PORTIONS OF DISTRICT LOTS 2447 AND 2619 WITHIN A STRIP OF LAND ONE CHAIN IN WIDTH MEASURED FOR HIGH WATER MARK</t>
  </si>
  <si>
    <t xml:space="preserve">011641789</t>
  </si>
  <si>
    <t xml:space="preserve">THAT PART OF BLOCK 16 LYING TO THE EAST OF THE DEDICATED ROAD DISTRICT LOT 1552 PLAN 4330 EXCEPT PLAN BCP45634</t>
  </si>
  <si>
    <t xml:space="preserve">010311742</t>
  </si>
  <si>
    <t xml:space="preserve">LOT 1 EXCEPT: PART ON HIGHWAY PLAN 108, BLOCK 1 DISTRICT LOT 2958 GROUP 1 NEW WESTMINSTER DISTRICT PLAN 7895</t>
  </si>
  <si>
    <t xml:space="preserve">011396342</t>
  </si>
  <si>
    <t xml:space="preserve">LOT 8, EXCEPT PART IN ROAD DESCRIBED IN 209222L, OF LOT 5 BLOCKS 6 TO 8 DISTRICT LOT 1552 PLAN 4712</t>
  </si>
  <si>
    <t xml:space="preserve">011966700</t>
  </si>
  <si>
    <t xml:space="preserve">LOT 1, EXCEPT PART IN PLAN VAP23130 BLOCK 2 OF BLOCK A DISTRICT LOT 1553 PLAN 4042</t>
  </si>
  <si>
    <t xml:space="preserve">011392461</t>
  </si>
  <si>
    <t xml:space="preserve">LOT 3, EXCEPT PART IN EXPLANATORY PLAN 6223, OF LOT 6 BLOCKS 6 TO 8 DISTRICT LOT 1552 PLAN 4712</t>
  </si>
  <si>
    <t xml:space="preserve">014191563</t>
  </si>
  <si>
    <t xml:space="preserve">LOT 27 EXCEPT: PART SUBDIVIDED BY PLAN LMP32623, DISTRICT LOT 1553 GROUP 1 NEW WESTMINSTER DISTRICT PLAN 1948</t>
  </si>
  <si>
    <t xml:space="preserve">008421889</t>
  </si>
  <si>
    <t xml:space="preserve">LOT 7, EXCEPT PART IN PLAN LMP25399 OF LOT 2 BLOCKS 6 TO 8 DISTRICT LOT 1552 PLAN 4712</t>
  </si>
  <si>
    <t xml:space="preserve">016547276</t>
  </si>
  <si>
    <t xml:space="preserve">LOT 3 EXCEPT PART IN PLAN 13591 DISTRICT LOT 1553 PLAN 1948</t>
  </si>
  <si>
    <t xml:space="preserve">011641428</t>
  </si>
  <si>
    <t xml:space="preserve">THAT PART OF BLOCK 11 LYING TO THE EAST OF THE DEDICATED ROAD, EXCEPT PART IN PLAN 22730 DISTRICT LOT 1552 PLAN 4330</t>
  </si>
  <si>
    <t xml:space="preserve">011641631</t>
  </si>
  <si>
    <t xml:space="preserve">BLOCK 14, EXCEPT (A) PART LYING TO THE WEST OF THE MAIN DEDICATED ROAD AND (B) PART THEREOF LYING TO THE NORTH OF THE DEDICATED ROAD WHICH CONNECTS THE MAIN DEDICATED ROAD TO THE SHORE OF HOWE SOUND DISTRICT LOT 1552 PLAN 4330</t>
  </si>
  <si>
    <t xml:space="preserve">010651799</t>
  </si>
  <si>
    <t xml:space="preserve">LOT C (SEE 440253L) OF LOT 1 EXCEPT: PART SUBDIVIDED BY PLAN LMP37634; DISTRICT LOT 1910 GROUP 1 NEW WESTMINSTER DISTRICT PLAN 7352</t>
  </si>
  <si>
    <t xml:space="preserve">008011095</t>
  </si>
  <si>
    <t xml:space="preserve">LOT 18, EXCEPT PART IN PLAN 18044 BLOCK C DISTRICT LOT 3042 PLAN 13831</t>
  </si>
  <si>
    <t xml:space="preserve">011397101</t>
  </si>
  <si>
    <t xml:space="preserve">LOT 5, EXCEPT PART IN EXPLANATORY PLAN 8586, OF LOT 3 BLOCKS 6 TO 8 DISTRICT LOT 1552 PLAN 4712</t>
  </si>
  <si>
    <t xml:space="preserve">018075924</t>
  </si>
  <si>
    <t xml:space="preserve">LOT C EXCEPT: PART SUBDIVIDED BY PLAN LMP11429, BLOCKS 15 AND 16 DISTRICT LOT 1552 PLAN LMP8436</t>
  </si>
  <si>
    <t xml:space="preserve">005223440</t>
  </si>
  <si>
    <t xml:space="preserve">LOT 11 EXCEPT PART DEDICATED FOR ROAD ON PLAN LMP10011, BLOCK 4 OF BLOCK A DISTRICT LOT 1553 PLAN 4042</t>
  </si>
  <si>
    <t xml:space="preserve">009080538</t>
  </si>
  <si>
    <t xml:space="preserve">AMENDED LOT 9 (EXPLANATORY PLAN 7922) EXCEPT PART IN PLAN 11946 BLOCK 6 DISTRICT LOT 490 PLAN 11393</t>
  </si>
  <si>
    <t xml:space="preserve">023183853</t>
  </si>
  <si>
    <t xml:space="preserve">LOT 28 DISTRICT LOTS 1547 AND 1551 GROUP 1 NEW WESTMINSTER DISTRICT PLAN LMP24875 EXCEPT PLAN BCP39367</t>
  </si>
  <si>
    <t xml:space="preserve">010311769</t>
  </si>
  <si>
    <t xml:space="preserve">LOT 2 EXCEPT: PART ON HIGHWAY PLAN 108, BLOCK 1 DISTRICT LOT 2958 GROUP 1 NEW WESTMINSTER DISTRICT PLAN 7895</t>
  </si>
  <si>
    <t xml:space="preserve">011041081</t>
  </si>
  <si>
    <t xml:space="preserve">LOT 1 EXCEPT LOT A (REFERENCE PLAN 2223) DISTRICT LOT 1628 PLAN 5904</t>
  </si>
  <si>
    <t xml:space="preserve">011641461</t>
  </si>
  <si>
    <t xml:space="preserve">THAT PART OF BLOCK 12, LYING TO THE EAST OF THE DEDICATED ROAD, EXCEPT PART IN PLAN LMP2989, DISTRICT LOT 1552 PLAN 4330</t>
  </si>
  <si>
    <t xml:space="preserve">011641878</t>
  </si>
  <si>
    <t xml:space="preserve">THAT PART OF BLOCK 17 LYING TO THE EAST OF THE DEDICATED ROAD DISTRICT LOT 1552 PLAN 4330 EXCEPT PLAN BCP45634</t>
  </si>
  <si>
    <t xml:space="preserve">009074040</t>
  </si>
  <si>
    <t xml:space="preserve">BLOCK 4, EXCEPT PART IN PLAN 12878 DISTRICT LOT 490 PLAN 11393</t>
  </si>
  <si>
    <t xml:space="preserve">009079165</t>
  </si>
  <si>
    <t xml:space="preserve">LOT 18 BLOCK 6 DISTRICT LOT 490 PLAN 11393</t>
  </si>
  <si>
    <t xml:space="preserve">009079190</t>
  </si>
  <si>
    <t xml:space="preserve">LOT 19 BLOCK 6 DISTRICT LOT 490 PLAN 11393</t>
  </si>
  <si>
    <t xml:space="preserve">019067623</t>
  </si>
  <si>
    <t xml:space="preserve">LOT F BLOCK 8 DISTRICT LOT 490 GROUP 1 NEW WESTMISTER DISTRICT PLAN LMP19967</t>
  </si>
  <si>
    <t xml:space="preserve">019067615</t>
  </si>
  <si>
    <t xml:space="preserve">LOT E BLOCK 8 DISTRICT LOT 490 PLAN LMP19967</t>
  </si>
  <si>
    <t xml:space="preserve">009083898</t>
  </si>
  <si>
    <t xml:space="preserve">LOT 19 BLOCK 8 DISTRICT LOT 490 PLAN 11393</t>
  </si>
  <si>
    <t xml:space="preserve">009083847</t>
  </si>
  <si>
    <t xml:space="preserve">LOT 18 BLOCK 8 DISTRICT LOT 490 PLAN 11393</t>
  </si>
  <si>
    <t xml:space="preserve">032112904</t>
  </si>
  <si>
    <t xml:space="preserve">LOT B DISTRICT LOT 492 GROUP 1 NEW WESTMINSTER DISTRICT PLAN EPP132700</t>
  </si>
  <si>
    <t xml:space="preserve">032112891</t>
  </si>
  <si>
    <t xml:space="preserve">LOT A DISTRICT LOT 492 GROUP 1 NEW WESTMINSTER DISTRICT PLAN EPP132700</t>
  </si>
  <si>
    <t xml:space="preserve">027954498</t>
  </si>
  <si>
    <t xml:space="preserve">LOT A BLOCK B DISTRICT LOT 492 GROUP 1 NEW WESTMINSTER DISTRICT PLAN BCP41415</t>
  </si>
  <si>
    <t xml:space="preserve">007232845</t>
  </si>
  <si>
    <t xml:space="preserve">LOT 137 BLOCK B DISTRICT LOT 492 PLAN 18013</t>
  </si>
  <si>
    <t xml:space="preserve">003999955</t>
  </si>
  <si>
    <t xml:space="preserve">LOT 48 BLOCKS B, E AND F DISTRICT LOT 492 PLAN 13685</t>
  </si>
  <si>
    <t xml:space="preserve">008038961</t>
  </si>
  <si>
    <t xml:space="preserve">LOT 54 BLOCKS B, E AND F DISTRICT LOT 492 PLAN 13685</t>
  </si>
  <si>
    <t xml:space="preserve">006710395</t>
  </si>
  <si>
    <t xml:space="preserve">LOT 162 BLOCKS B, E AND F DISTRICT LOT 492 PLAN 20273</t>
  </si>
  <si>
    <t xml:space="preserve">008038953</t>
  </si>
  <si>
    <t xml:space="preserve">LOT 53 BLOCKS B, E AND F DISTRICT LOT 492 PLAN 13685</t>
  </si>
  <si>
    <t xml:space="preserve">008038929</t>
  </si>
  <si>
    <t xml:space="preserve">LOT 50 BLOCKS B, E AND F DISTRICT LOT 492 PLAN 13685</t>
  </si>
  <si>
    <t xml:space="preserve">008038902</t>
  </si>
  <si>
    <t xml:space="preserve">LOT 49  BLOCKS B, E AND F  DISTRICT LOT 492  PLAN 13685</t>
  </si>
  <si>
    <t xml:space="preserve">002807076</t>
  </si>
  <si>
    <t xml:space="preserve">LOT 51 BLOCKS B, E AND F DISTRICT LOT 492 PLAN 13685</t>
  </si>
  <si>
    <t xml:space="preserve">008038937</t>
  </si>
  <si>
    <t xml:space="preserve">LOT 52 BLOCKS B, E AND F DISTRICT LOT 492 PLAN 13685</t>
  </si>
  <si>
    <t xml:space="preserve">007071361</t>
  </si>
  <si>
    <t xml:space="preserve">LOT 139 BLOCK B DISTRICT LOT 492 PLAN 18867</t>
  </si>
  <si>
    <t xml:space="preserve">007259816</t>
  </si>
  <si>
    <t xml:space="preserve">LOT L BLOCK B DISTRICT LOT 492 PLAN 17759</t>
  </si>
  <si>
    <t xml:space="preserve">027954501</t>
  </si>
  <si>
    <t xml:space="preserve">LOT B BLOCK B DISTRICT LOT 492 GROUP 1 NEW WESTMINSTER DISTRICT PLAN BCP41415</t>
  </si>
  <si>
    <t xml:space="preserve">031318517</t>
  </si>
  <si>
    <t xml:space="preserve">LOT A BLOCK A DISTRICT LOT 492 GROUP 1 NEW WESTMINSTER DISTRICT PLAN EPP90794</t>
  </si>
  <si>
    <t xml:space="preserve">031318525</t>
  </si>
  <si>
    <t xml:space="preserve">LOT B BLOCK A DISTRICT LOT 492 GROUP 1 NEW WESTMINSTER DISTRICT PLAN EPP90794</t>
  </si>
  <si>
    <t xml:space="preserve">008904359</t>
  </si>
  <si>
    <t xml:space="preserve">LOT E OF LOT 1 BLOCK A DISTRICT LOT 492 PLAN 12348</t>
  </si>
  <si>
    <t xml:space="preserve">007696256</t>
  </si>
  <si>
    <t xml:space="preserve">LOT I OF LOT 1 BLOCK A DISTRICT LOT 492 PLAN 15090</t>
  </si>
  <si>
    <t xml:space="preserve">008040460</t>
  </si>
  <si>
    <t xml:space="preserve">LOT 120 BLOCKS B, E AND F DISTRICT LOT 492 PLAN 13685</t>
  </si>
  <si>
    <t xml:space="preserve">008040478</t>
  </si>
  <si>
    <t xml:space="preserve">LOT 121 BLOCKS B, E AND F DISTRICT LOT 492 PLAN 13685</t>
  </si>
  <si>
    <t xml:space="preserve">004225520</t>
  </si>
  <si>
    <t xml:space="preserve">LOT 160 BLOCK E DISTRICT LOT 492 PLAN 20353</t>
  </si>
  <si>
    <t xml:space="preserve">019180331</t>
  </si>
  <si>
    <t xml:space="preserve">LOT A BLOCKS B, E AND F DISTRICT LOT 492 PLAN LMP22078</t>
  </si>
  <si>
    <t xml:space="preserve">010929843</t>
  </si>
  <si>
    <t xml:space="preserve">BLOCK 8 DISTRICT LOT 2192 PLAN 6252</t>
  </si>
  <si>
    <t xml:space="preserve">009103082</t>
  </si>
  <si>
    <t xml:space="preserve">BLOCK 7 DISTRICT LOT 2192 PLAN 6252</t>
  </si>
  <si>
    <t xml:space="preserve">031876307</t>
  </si>
  <si>
    <t xml:space="preserve">LOT 1 DISTRICT LOT 2192 GROUP 1 NEW WESTMINSTER DISTRICT PLAN EPP123281</t>
  </si>
  <si>
    <t xml:space="preserve">028646975</t>
  </si>
  <si>
    <t xml:space="preserve">LOT 1 BLOCKS 12 AND 13 DISTRICT LOT 2192 GROUP 1 NEW WESTMINSTER DISTRICT PLAN BCP48989</t>
  </si>
  <si>
    <t xml:space="preserve">008842094</t>
  </si>
  <si>
    <t xml:space="preserve">LOT A BLOCK 16 DISTRICT LOT 2192 PLAN 12594</t>
  </si>
  <si>
    <t xml:space="preserve">016649788</t>
  </si>
  <si>
    <t xml:space="preserve">STRATA LOT 5 DISTRICT LOT 2447 STRATA PLAN VR. 2453 TOGETHER WITH AN INTEREST IN THE COMMON PROPERTY IN PROPORTION TO THE UNIT ENTITLEMENT OF THE STRATA LOT AS SHOWN ON FORM 1.</t>
  </si>
  <si>
    <t xml:space="preserve">008007608</t>
  </si>
  <si>
    <t xml:space="preserve">LOT 13 BLOCK C DISTRICT LOT 1426 PLAN 13841</t>
  </si>
  <si>
    <t xml:space="preserve">008008213</t>
  </si>
  <si>
    <t xml:space="preserve">LOT 46 BLOCK C DISTRICT LOT 1426 PLAN 13841</t>
  </si>
  <si>
    <t xml:space="preserve">006288057</t>
  </si>
  <si>
    <t xml:space="preserve">STRATA LOT 2 DISTRICT LOT 1426 STRATA PLAN VR. 1821 TOGETHER WITH AN INTEREST IN THE COMMON PROPERTY IN PROPORTION TO THE UNIT ENTITLEMENT OF THE STRATA LOT AS SHOWN ON FORM 1.</t>
  </si>
  <si>
    <t xml:space="preserve">008008035</t>
  </si>
  <si>
    <t xml:space="preserve">LOT 28 BLOCK C DISTRICT LOT 1426 PLAN 13841</t>
  </si>
  <si>
    <t xml:space="preserve">008008019</t>
  </si>
  <si>
    <t xml:space="preserve">LOT 27 BLOCK C DISTRICT LOT 1426 PLAN 13841</t>
  </si>
  <si>
    <t xml:space="preserve">006605362</t>
  </si>
  <si>
    <t xml:space="preserve">LOT 2 OF LOT E DISTRICT LOT 1349 PLAN 20478</t>
  </si>
  <si>
    <t xml:space="preserve">014359995</t>
  </si>
  <si>
    <t xml:space="preserve">LOT D DISTRICT LOT 1426 PLAN 22299</t>
  </si>
  <si>
    <t xml:space="preserve">008007276</t>
  </si>
  <si>
    <t xml:space="preserve">LOT 2 BLOCK C DISTRICT LOT 1426 PLAN 13841</t>
  </si>
  <si>
    <t xml:space="preserve">008007322</t>
  </si>
  <si>
    <t xml:space="preserve">LOT 4 BLOCK C DISTRICT LOT 1426 PLAN 13841</t>
  </si>
  <si>
    <t xml:space="preserve">008007721</t>
  </si>
  <si>
    <t xml:space="preserve">LOT 15 BLOCK C DISTRICT LOT 1426 PLAN 13841</t>
  </si>
  <si>
    <t xml:space="preserve">008007349</t>
  </si>
  <si>
    <t xml:space="preserve">LOT 5 BLOCK C DISTRICT LOT 1426 PLAN 13841</t>
  </si>
  <si>
    <t xml:space="preserve">008007756</t>
  </si>
  <si>
    <t xml:space="preserve">LOT 16 BLOCK C DISTRICT LOT 1426 PLAN 13841</t>
  </si>
  <si>
    <t xml:space="preserve">007071477</t>
  </si>
  <si>
    <t xml:space="preserve">LOT A BLOCK C DISTRICT LOTS 1349 AND 1426 PLAN 18864</t>
  </si>
  <si>
    <t xml:space="preserve">006288022</t>
  </si>
  <si>
    <t xml:space="preserve">STRATA LOT 1 DISTRICT LOT 1426 STRATA PLAN VR. 1821 TOGETHER WITH AN INTEREST IN THE COMMON PROPERTY IN PROPORTION TO THE UNIT ENTITLEMENT OF THE STRATA LOT AS SHOWN ON FORM 1.</t>
  </si>
  <si>
    <t xml:space="preserve">003425126</t>
  </si>
  <si>
    <t xml:space="preserve">LOT 25 BLOCK C DISTRICT LOT 1426 PLAN 13841</t>
  </si>
  <si>
    <t xml:space="preserve">006288103</t>
  </si>
  <si>
    <t xml:space="preserve">STRATA LOT 4 DISTRICT LOT 1426 STRATA PLAN VR. 1821 TOGETHER WITH AN INTEREST IN THE COMMON PROPERTY IN PROPORTION TO THE UNIT ENTITLEMENT OF THE STRATA LOT AS SHOWN ON FORM 1.</t>
  </si>
  <si>
    <t xml:space="preserve">008007543</t>
  </si>
  <si>
    <t xml:space="preserve">LOT 10 BLOCK C DISTRICT LOT 1426 PLAN 13841</t>
  </si>
  <si>
    <t xml:space="preserve">006605401</t>
  </si>
  <si>
    <t xml:space="preserve">LOT 3 OF LOT E DISTRICT LOT 1349 PLAN 20478</t>
  </si>
  <si>
    <t xml:space="preserve">031697089</t>
  </si>
  <si>
    <t xml:space="preserve">THAT PART OF DISTRICT LOT 2192  GROUP 1  NEW WESTMINSTER DISTRICT  SHOWN ON PLAN EPP116800</t>
  </si>
  <si>
    <t xml:space="preserve">UNCLASS</t>
  </si>
  <si>
    <t xml:space="preserve">008040982</t>
  </si>
  <si>
    <t xml:space="preserve">LOT 131 BLOCKS B, E AND F DISTRICT LOT 492 PLAN 13685</t>
  </si>
  <si>
    <t xml:space="preserve">032282095</t>
  </si>
  <si>
    <t xml:space="preserve">LOT 1 DISTRICT LOT 2192 GROUP 1 NEW WESTMINSTER DISTRICT PLAN EPP134561</t>
  </si>
  <si>
    <t xml:space="preserve">009116486</t>
  </si>
  <si>
    <t xml:space="preserve">LOT A EXCEPT PART ON SRW PLAN 175, BLOCK 5 DISTRICT LOT 1552 GROUP 1 NEW WESTMINSTER DISTRICT PLAN 11330</t>
  </si>
  <si>
    <t xml:space="preserve">010046089</t>
  </si>
  <si>
    <t xml:space="preserve">LOT A BLOCK 4 DISTRICT LOT 1552 PLAN 21553</t>
  </si>
  <si>
    <t xml:space="preserve">007615361</t>
  </si>
  <si>
    <t xml:space="preserve">LOT 1 EXCEPT PART ON SRW PLAN 175, BLOCKS 3 AND 4 DISTRICT LOT 1552 GROUP 1 NEW WESTMINSTER DISTRICT PLAN 15804</t>
  </si>
  <si>
    <t xml:space="preserve">028403771</t>
  </si>
  <si>
    <t xml:space="preserve">STRATA LOT 5 DISTRICT LOT 1552 GROUP 1 NEW WESTMINSTER DISTRICT STRATA PLAN BCS3466 TOGETHER WITH AN INTEREST IN THE COMMON PROPERTY IN PROPORTION TO THE UNIT ENTITLEMENT OF THE STRATA LOT AS SHOWN ON FORM V</t>
  </si>
  <si>
    <t xml:space="preserve">028403762</t>
  </si>
  <si>
    <t xml:space="preserve">STRATA LOT 4 DISTRICT LOT 1552 GROUP 1 NEW WESTMINSTER DISTRICT STRATA PLAN BCS3466 TOGETHER WITH AN INTEREST IN THE COMMON PROPERTY IN PROPORTION TO THE UNIT ENTITLEMENT OF THE STRATA LOT AS SHOWN ON FORM V</t>
  </si>
  <si>
    <t xml:space="preserve">011397594</t>
  </si>
  <si>
    <t xml:space="preserve">LOT 2 OF LOT 2 BLOCKS 6 TO 8 DISTRICT LOT 1552 PLAN 4712</t>
  </si>
  <si>
    <t xml:space="preserve">003020410</t>
  </si>
  <si>
    <t xml:space="preserve">LOT 1 EXCEPT PART ON SRW PLAN 175, DISTRICT LOT 1551 GROUP 1 NEW WESTMINSTER DISTRICT PLAN 7650</t>
  </si>
  <si>
    <t xml:space="preserve">011392291</t>
  </si>
  <si>
    <t xml:space="preserve">LOT 4 OF LOT 6 BLOCKS 6 TO 8 DISTRICT LOT 1552 PLAN 4712</t>
  </si>
  <si>
    <t xml:space="preserve">028403754</t>
  </si>
  <si>
    <t xml:space="preserve">STRATA LOT 3 DISTRICT LOT 1552 GROUP 1 NEW WESTMINSTER DISTRICT STRATA PLAN BCS3466 TOGETHER WITH AN INTEREST IN THE COMMON PROPERTY IN PROPORTION TO THE UNIT ENTITLEMENT OF THE STRATA LOT AS SHOWN ON FORM V</t>
  </si>
  <si>
    <t xml:space="preserve">018631291</t>
  </si>
  <si>
    <t xml:space="preserve">LOT D BLOCKS 6 TO 8 DISTRICT LOT 1552 PLAN LMP12286</t>
  </si>
  <si>
    <t xml:space="preserve">009116516</t>
  </si>
  <si>
    <t xml:space="preserve">LOT C BLOCK 5 DISTRICT LOT 1552 PLAN 11330</t>
  </si>
  <si>
    <t xml:space="preserve">006847471</t>
  </si>
  <si>
    <t xml:space="preserve">LOT 1, EXCEPT PART IN PLAN 20222, BLOCK 3 DISTRICT LOT 1552 PLAN 20111</t>
  </si>
  <si>
    <t xml:space="preserve">009116508</t>
  </si>
  <si>
    <t xml:space="preserve">LOT B BLOCK 5 DISTRICT LOT 1552 PLAN 11330</t>
  </si>
  <si>
    <t xml:space="preserve">011071559</t>
  </si>
  <si>
    <t xml:space="preserve">AMENDED LOT 1 (SEE 213377L) OF LOT 2 EXCEPT: PART ON HIGHWAY PLAN 164 BLOCKS 6 TO 8 DISTRICT LOT 1552 PLAN 4712</t>
  </si>
  <si>
    <t xml:space="preserve">027997405</t>
  </si>
  <si>
    <t xml:space="preserve">LOT 1 DISTRICT LOT 1552 GROUP 1 NEW WESTMINSTER DISTRICT PLAN BCP41244</t>
  </si>
  <si>
    <t xml:space="preserve">010046216</t>
  </si>
  <si>
    <t xml:space="preserve">LOT C BLOCK 4 DISTRICT LOT 1552 PLAN 21553</t>
  </si>
  <si>
    <t xml:space="preserve">018631282</t>
  </si>
  <si>
    <t xml:space="preserve">LOT C BLOCKS 6 TO 8 DISTRICT LOT 1552 PLAN LMP12286</t>
  </si>
  <si>
    <t xml:space="preserve">010395580</t>
  </si>
  <si>
    <t xml:space="preserve">LOT 2 DISTRICT LOT 1552 PLAN 7650</t>
  </si>
  <si>
    <t xml:space="preserve">006763669</t>
  </si>
  <si>
    <t xml:space="preserve">LOT A BLOCK 3 DISTRICT LOT 1552 PLAN 20222</t>
  </si>
  <si>
    <t xml:space="preserve">008230498</t>
  </si>
  <si>
    <t xml:space="preserve">LOT 3 DISTRICT LOT 1552 PLAN 7650</t>
  </si>
  <si>
    <t xml:space="preserve">011396661</t>
  </si>
  <si>
    <t xml:space="preserve">LOT 16 OF LOT 5 BLOCKS 6 TO 8 DISTRICT LOT 1552 PLAN 4712</t>
  </si>
  <si>
    <t xml:space="preserve">027997448</t>
  </si>
  <si>
    <t xml:space="preserve">STRATA LOT 1 DISTRICT LOT 1552 GROUP 1 NEW WESTMINSTER DISTRICT STRATA PLAN BCS3465 TOGETHER WITH AN INTEREST IN THE COMMON PROPERTY IN PROPORTION TO THE UNIT ENTITLEMENT OF THE STRATA LOT AS SHOWN ON FORM V</t>
  </si>
  <si>
    <t xml:space="preserve">010046097</t>
  </si>
  <si>
    <t xml:space="preserve">LOT B BLOCK 4 DISTRICT LOT 1552 PLAN 21553</t>
  </si>
  <si>
    <t xml:space="preserve">011392321</t>
  </si>
  <si>
    <t xml:space="preserve">LOT 5 OF LOT 6 BLOCKS 6 TO 8 DISTRICT LOT 1552 PLAN 4712</t>
  </si>
  <si>
    <t xml:space="preserve">027997456</t>
  </si>
  <si>
    <t xml:space="preserve">STRATA LOT 2 DISTRICT LOT 1552 GROUP 1 NEW WESTMINSTER DISTRICT STRATA PLAN BCS3465 TOGETHER WITH AN INTEREST IN THE COMMON PROPERTY IN PROPORTION TO THE UNIT ENTITLEMENT OF THE STRATA LOT AS SHOWN ON FORM V</t>
  </si>
  <si>
    <t xml:space="preserve">015203425</t>
  </si>
  <si>
    <t xml:space="preserve">LOT F BLOCK 2 DISTRICT LOT 1552 PLAN 22559</t>
  </si>
  <si>
    <t xml:space="preserve">009146083</t>
  </si>
  <si>
    <t xml:space="preserve">LOT B BLOCK 2 DISTRICT LOT 1552 PLAN 11138</t>
  </si>
  <si>
    <t xml:space="preserve">011392410</t>
  </si>
  <si>
    <t xml:space="preserve">LOT A (EXPLANATORY PLAN 6223) OF LOT 3 OF LOT 6 BLOCKS 6 TO 8 DISTRICT LOT 1552 PLAN 4712</t>
  </si>
  <si>
    <t xml:space="preserve">010395610</t>
  </si>
  <si>
    <t xml:space="preserve">LOT 5, EXCEPT PART IN EXPLANATORY PLAN 5699 DISTRICT LOT 1552 PLAN 7650</t>
  </si>
  <si>
    <t xml:space="preserve">018978487</t>
  </si>
  <si>
    <t xml:space="preserve">LOT C BLOCK 1 OF BLOCK A DISTRICT LOT 1553 PLAN LMP19171</t>
  </si>
  <si>
    <t xml:space="preserve">011966777</t>
  </si>
  <si>
    <t xml:space="preserve">LOT 31 BLOCK 2 OF BLOCK A DISTRICT LOT 1553 PLAN 4042</t>
  </si>
  <si>
    <t xml:space="preserve">011967188</t>
  </si>
  <si>
    <t xml:space="preserve">LOT 15 BLOCK 1 OF BLOCK A DISTRICT LOT 1553 PLAN 4042</t>
  </si>
  <si>
    <t xml:space="preserve">011503521</t>
  </si>
  <si>
    <t xml:space="preserve">LOT 1 BLOCK 1 OF BLOCK A DISTRICT LOT 1553 PLAN 4042</t>
  </si>
  <si>
    <t xml:space="preserve">010591737</t>
  </si>
  <si>
    <t xml:space="preserve">LOT 6 OF LOT 3 BLOCKS 6 TO 8 DISTRICT LOT 1552 PLAN 4712</t>
  </si>
  <si>
    <t xml:space="preserve">028979371</t>
  </si>
  <si>
    <t xml:space="preserve">LOT 1 DISTRICT LOT 1552 GROUP 1 NEW WESTMINSTER DISTRICT PLAN EPP21657</t>
  </si>
  <si>
    <t xml:space="preserve">011392266</t>
  </si>
  <si>
    <t xml:space="preserve">LOT 2 OF LOT 6 BLOCKS 6 TO 8 DISTRICT LOT 1552 PLAN 4712</t>
  </si>
  <si>
    <t xml:space="preserve">011394595</t>
  </si>
  <si>
    <t xml:space="preserve">LOT 2 OF LOT 5 BLOCKS 6 TO 8 DISTRICT LOT 1552 PLAN 4712</t>
  </si>
  <si>
    <t xml:space="preserve">026854015</t>
  </si>
  <si>
    <t xml:space="preserve">STRATA LOT 1 DISTRICT LOT 1552 GROUP 1 NEW WESTMINSTER DISTRICT STRATA PLAN BCS2064 TOGETHER WITH AN INTEREST IN THE COMMON PROPERTY IN PROPORTION TO THE UNIT ENTITLEMENT OF THE STRATA LOT AS SHOWN ON FORM V</t>
  </si>
  <si>
    <t xml:space="preserve">011395150</t>
  </si>
  <si>
    <t xml:space="preserve">THAT PART OF LOT 8 LYING NORTH EAST OF A LINE DRAWN FROM A POINT IN THE NORTH BOUNDARY OF SAID LOT DISTANT 25.26 FEET FROM THE MOST EASTERLY CORNER THEREOF TO A POINT IN THE SOUTH EAST BOUNDARY THEREOF DISTANT 25.26 FEET FROM SAID CORNER, OF LOT 5 BLOCKS 6 TO 8 DISTRICT LOT 1552 PLAN 4712</t>
  </si>
  <si>
    <t xml:space="preserve">010533893</t>
  </si>
  <si>
    <t xml:space="preserve">LOT 10 BLOCK 1 DISTRICT LOT 490 PLAN 7806</t>
  </si>
  <si>
    <t xml:space="preserve">011517166</t>
  </si>
  <si>
    <t xml:space="preserve">STRATA LOT 1 DISTRICT LOT 492 STRATA PLAN VR. 2166 TOGETHER WITH AN INTEREST IN THE COMMON PROPERTY IN PROPORTION TO THE UNIT ENTITLEMENT OF THE STRATA LOT AS SHOWN ON FORM 1.</t>
  </si>
  <si>
    <t xml:space="preserve">UNTITLEDPROV</t>
  </si>
  <si>
    <t xml:space="preserve">028287827</t>
  </si>
  <si>
    <t xml:space="preserve">STRATA LOT 5 DISTRICT LOT 1552 GROUP 1 NEW WESTMINSTER DISTRICT STRATA PLAN BCS3896 TOGETHER WITH AN INTEREST IN THE COMMON PROPERTY IN PROPORTION TO THE UNIT ENTITLEMENT OF THE STRATA LOT AS SHOWN ON FORM V</t>
  </si>
  <si>
    <t xml:space="preserve">004815947</t>
  </si>
  <si>
    <t xml:space="preserve">LOT 1 BLOCK 9 DISTRICT LOT 1552 PLAN 10144</t>
  </si>
  <si>
    <t xml:space="preserve">011397012</t>
  </si>
  <si>
    <t xml:space="preserve">LOT 2 OF LOT 3 BLOCKS 6 TO 8 DISTRICT LOT 1552 PLAN 4712</t>
  </si>
  <si>
    <t xml:space="preserve">011396628</t>
  </si>
  <si>
    <t xml:space="preserve">LOT 14 OF LOT 5 BLOCKS 6 TO 8 DISTRICT LOT 1552 PLAN 4712</t>
  </si>
  <si>
    <t xml:space="preserve">028287797</t>
  </si>
  <si>
    <t xml:space="preserve">STRATA LOT 2 DISTRICT LOT 1552 GROUP 1 NEW WESTMINSTER DISTRICT STRATA PLAN BCS3896 TOGETHER WITH AN INTEREST IN THE COMMON PROPERTY IN PROPORTION TO THE UNIT ENTITLEMENT OF THE STRATA LOT AS SHOWN ON FORM V</t>
  </si>
  <si>
    <t xml:space="preserve">028287801</t>
  </si>
  <si>
    <t xml:space="preserve">STRATA LOT 3 DISTRICT LOT 1552 GROUP 1 NEW WESTMINSTER DISTRICT STRATA PLAN BCS3896 TOGETHER WITH AN INTEREST IN THE COMMON PROPERTY IN PROPORTION TO THE UNIT ENTITLEMENT OF THE STRATA LOT AS SHOWN ON FORM V</t>
  </si>
  <si>
    <t xml:space="preserve">028287789</t>
  </si>
  <si>
    <t xml:space="preserve">STRATA LOT 1 DISTRICT LOT 1552 GROUP 1 NEW WESTMINSTER DISTRICT STRATA PLAN BCS3896 TOGETHER WITH AN INTEREST IN THE COMMON PROPERTY IN PROPORTION TO THE UNIT ENTITLEMENT OF THE STRATA LOT AS SHOWN ON FORM V</t>
  </si>
  <si>
    <t xml:space="preserve">028287819</t>
  </si>
  <si>
    <t xml:space="preserve">STRATA LOT 4 DISTRICT LOT 1552 GROUP 1 NEW WESTMINSTER DISTRICT STRATA PLAN BCS3896 TOGETHER WITH AN INTEREST IN THE COMMON PROPERTY IN PROPORTION TO THE UNIT ENTITLEMENT OF THE STRATA LOT AS SHOWN ON FORM V</t>
  </si>
  <si>
    <t xml:space="preserve">006647511</t>
  </si>
  <si>
    <t xml:space="preserve">LOT E BLOCK 11 DISTRICT LOT 1552 PLAN 20302</t>
  </si>
  <si>
    <t xml:space="preserve">027341984</t>
  </si>
  <si>
    <t xml:space="preserve">LOT 4 DISTRICT LOT 1552 GROUP 1 NEW WESTMINSTER DISTRICT PLAN BCP33962</t>
  </si>
  <si>
    <t xml:space="preserve">018777457</t>
  </si>
  <si>
    <t xml:space="preserve">LOT H BLOCK 12 AND 13 DISTRICT LOT 1552 PLAN LMP16623</t>
  </si>
  <si>
    <t xml:space="preserve">026854023</t>
  </si>
  <si>
    <t xml:space="preserve">STRATA LOT 2 DISTRICT LOT 1552 GROUP 1 NEW WESTMINSTER DISTRICT STRATA PLAN BCS2064 TOGETHER WITH AN INTEREST IN THE COMMON PROPERTY IN PROPORTION TO THE UNIT ENTITLEMENT OF THE STRATA LOT AS SHOWN ON FORM V</t>
  </si>
  <si>
    <t xml:space="preserve">027341976</t>
  </si>
  <si>
    <t xml:space="preserve">LOT 3 DISTRICT LOT 1552 GROUP 1 NEW WESTMINSTER DISTRICT PLAN BCP33962</t>
  </si>
  <si>
    <t xml:space="preserve">027341941</t>
  </si>
  <si>
    <t xml:space="preserve">LOT 2 DISTRICT LOT 1552 GROUP 1 NEW WESTMINSTER DISTRICT PLAN BCP33961</t>
  </si>
  <si>
    <t xml:space="preserve">027341992</t>
  </si>
  <si>
    <t xml:space="preserve">LOT 5 DISTRICT LOT 1552 GROUP 1 NEW WESTMINSTER DISTRICT PLAN BCP33962</t>
  </si>
  <si>
    <t xml:space="preserve">032383215</t>
  </si>
  <si>
    <t xml:space="preserve">STRATA LOT 2 DISTRICT LOT 1552 GROUP 1 NEW WESTMINSTER DISTRICT STRATA PLAN EPS9997 TOGETHER WITH AN INTEREST IN THE COMMON PROPERTY IN PROPORTION TO THE UNIT ENTITLEMENT OF THE STRATA LOT AS SHOWN ON FORM V</t>
  </si>
  <si>
    <t xml:space="preserve">032383207</t>
  </si>
  <si>
    <t xml:space="preserve">STRATA LOT 1 DISTRICT LOT 1552 GROUP 1 NEW WESTMINSTER DISTRICT STRATA PLAN EPS9997 TOGETHER WITH AN INTEREST IN THE COMMON PROPERTY IN PROPORTION TO THE UNIT ENTITLEMENT OF THE STRATA LOT AS SHOWN ON FORM V</t>
  </si>
  <si>
    <t xml:space="preserve">032383231</t>
  </si>
  <si>
    <t xml:space="preserve">STRATA LOT 4 DISTRICT LOT 1552 GROUP 1 NEW WESTMINSTER DISTRICT STRATA PLAN EPS9997 TOGETHER WITH AN INTEREST IN THE COMMON PROPERTY IN PROPORTION TO THE UNIT ENTITLEMENT OF THE STRATA LOT AS SHOWN ON FORM V</t>
  </si>
  <si>
    <t xml:space="preserve">032383223</t>
  </si>
  <si>
    <t xml:space="preserve">STRATA LOT 3 DISTRICT LOT 1552 GROUP 1 NEW WESTMINSTER DISTRICT STRATA PLAN EPS9997 TOGETHER WITH AN INTEREST IN THE COMMON PROPERTY IN PROPORTION TO THE UNIT ENTITLEMENT OF THE STRATA LOT AS SHOWN ON FORM V</t>
  </si>
  <si>
    <t xml:space="preserve">032383240</t>
  </si>
  <si>
    <t xml:space="preserve">STRATA LOT 5 DISTRICT LOT 1552 GROUP 1 NEW WESTMINSTER DISTRICT STRATA PLAN EPS9997 TOGETHER WITH AN INTEREST IN THE COMMON PROPERTY IN PROPORTION TO THE UNIT ENTITLEMENT OF THE STRATA LOT AS SHOWN ON FORM V</t>
  </si>
  <si>
    <t xml:space="preserve">032383258</t>
  </si>
  <si>
    <t xml:space="preserve">STRATA LOT 6 DISTRICT LOT 1552 GROUP 1 NEW WESTMINSTER DISTRICT STRATA PLAN EPS9997 TOGETHER WITH AN INTEREST IN THE COMMON PROPERTY IN PROPORTION TO THE UNIT ENTITLEMENT OF THE STRATA LOT AS SHOWN ON FORM V</t>
  </si>
  <si>
    <t xml:space="preserve">2024 Update on Subdivisions and Available Lots</t>
  </si>
  <si>
    <t xml:space="preserve">Total Permitted</t>
  </si>
  <si>
    <t xml:space="preserve">Already developed</t>
  </si>
  <si>
    <t xml:space="preserve">Remaining</t>
  </si>
  <si>
    <t xml:space="preserve">Existing</t>
  </si>
  <si>
    <t xml:space="preserve">In Progress</t>
  </si>
  <si>
    <t xml:space="preserve">Include on Map?</t>
  </si>
  <si>
    <t xml:space="preserve">Evergreen (CD 12 &amp; 8)</t>
  </si>
  <si>
    <t xml:space="preserve">CD1 Artisan Square</t>
  </si>
  <si>
    <t xml:space="preserve">Not included</t>
  </si>
  <si>
    <t xml:space="preserve">Arbutus Ridge</t>
  </si>
  <si>
    <t xml:space="preserve">CD2 Cates Hill (Area 2)(Area 4)</t>
  </si>
  <si>
    <t xml:space="preserve">Yes</t>
  </si>
  <si>
    <t xml:space="preserve">Grafton Lake</t>
  </si>
  <si>
    <t xml:space="preserve">CD3 Bowen Bay</t>
  </si>
  <si>
    <t xml:space="preserve">Seymour Bay</t>
  </si>
  <si>
    <t xml:space="preserve">CD4 Hood Point</t>
  </si>
  <si>
    <t xml:space="preserve">Community Lands Lot 1</t>
  </si>
  <si>
    <t xml:space="preserve">CD6 Cowan Point</t>
  </si>
  <si>
    <t xml:space="preserve">Community Lands Lot 2</t>
  </si>
  <si>
    <t xml:space="preserve">N/A</t>
  </si>
  <si>
    <t xml:space="preserve">CD7 Reid/ Pass</t>
  </si>
  <si>
    <t xml:space="preserve">CD 20 (the Pub)</t>
  </si>
  <si>
    <t xml:space="preserve">Evergreen</t>
  </si>
  <si>
    <t xml:space="preserve">CD8 Malkin Creek</t>
  </si>
  <si>
    <t xml:space="preserve">Cates Hill (Parkview Slopes)</t>
  </si>
  <si>
    <t xml:space="preserve">CD9 Buchanan</t>
  </si>
  <si>
    <t xml:space="preserve">CD10 Ruddy Potato</t>
  </si>
  <si>
    <t xml:space="preserve">Lots to be created</t>
  </si>
  <si>
    <t xml:space="preserve">CD12 Greenway West (Evergreen)</t>
  </si>
  <si>
    <t xml:space="preserve">CD15 Seniors Precinct</t>
  </si>
  <si>
    <t xml:space="preserve">CD16 Belterra</t>
  </si>
  <si>
    <t xml:space="preserve">Cowan Point zone</t>
  </si>
  <si>
    <t xml:space="preserve">CD17 Proctor</t>
  </si>
  <si>
    <t xml:space="preserve">Area</t>
  </si>
  <si>
    <t xml:space="preserve">Already Developed</t>
  </si>
  <si>
    <t xml:space="preserve">Active Subdivisions</t>
  </si>
  <si>
    <t xml:space="preserve">CD18 Arbutus Ridge</t>
  </si>
  <si>
    <t xml:space="preserve">CD19 Community Lands Lot 2</t>
  </si>
  <si>
    <t xml:space="preserve">CD20 Bowen Investments</t>
  </si>
  <si>
    <t xml:space="preserve">CD21 Grafton Lake</t>
  </si>
  <si>
    <t xml:space="preserve">CD22 Community Lands Lot 1</t>
  </si>
  <si>
    <t xml:space="preserve">TOTALS</t>
  </si>
  <si>
    <t xml:space="preserve"> </t>
  </si>
  <si>
    <t xml:space="preserve">Summary</t>
  </si>
  <si>
    <t xml:space="preserve">SR Properties</t>
  </si>
  <si>
    <t xml:space="preserve">RR3 Properties</t>
  </si>
  <si>
    <t xml:space="preserve">RR1 &amp; 2 Properties</t>
  </si>
  <si>
    <t xml:space="preserve">Sub Total</t>
  </si>
  <si>
    <t xml:space="preserve">CD Zones</t>
  </si>
  <si>
    <t xml:space="preserve">Vacant</t>
  </si>
  <si>
    <t xml:space="preserve">Total </t>
  </si>
</sst>
</file>

<file path=xl/styles.xml><?xml version="1.0" encoding="utf-8"?>
<styleSheet xmlns="http://schemas.openxmlformats.org/spreadsheetml/2006/main">
  <numFmts count="5">
    <numFmt numFmtId="164" formatCode="General"/>
    <numFmt numFmtId="165" formatCode="0.00"/>
    <numFmt numFmtId="166" formatCode="0.00000000000"/>
    <numFmt numFmtId="167" formatCode="0"/>
    <numFmt numFmtId="168" formatCode="General"/>
  </numFmts>
  <fonts count="10">
    <font>
      <sz val="10"/>
      <name val="Arial"/>
      <family val="0"/>
      <charset val="1"/>
    </font>
    <font>
      <sz val="10"/>
      <name val="Arial"/>
      <family val="0"/>
    </font>
    <font>
      <sz val="10"/>
      <name val="Arial"/>
      <family val="0"/>
    </font>
    <font>
      <sz val="10"/>
      <name val="Arial"/>
      <family val="0"/>
    </font>
    <font>
      <b val="true"/>
      <sz val="10"/>
      <name val="Arial"/>
      <family val="0"/>
      <charset val="1"/>
    </font>
    <font>
      <b val="true"/>
      <sz val="11"/>
      <color rgb="FF000000"/>
      <name val="Aptos Narrow"/>
      <family val="2"/>
      <charset val="1"/>
    </font>
    <font>
      <sz val="12"/>
      <color rgb="FF000000"/>
      <name val="Aptos Narrow"/>
      <family val="2"/>
      <charset val="1"/>
    </font>
    <font>
      <b val="true"/>
      <sz val="12"/>
      <color rgb="FF000000"/>
      <name val="Aptos Narrow"/>
      <family val="2"/>
      <charset val="1"/>
    </font>
    <font>
      <sz val="10"/>
      <name val="Arial"/>
      <family val="2"/>
      <charset val="1"/>
    </font>
    <font>
      <b val="true"/>
      <sz val="10"/>
      <name val="Arial"/>
      <family val="2"/>
      <charset val="1"/>
    </font>
  </fonts>
  <fills count="5">
    <fill>
      <patternFill patternType="none"/>
    </fill>
    <fill>
      <patternFill patternType="gray125"/>
    </fill>
    <fill>
      <patternFill patternType="solid">
        <fgColor rgb="FFC0C0C0"/>
        <bgColor rgb="FF99CCFF"/>
      </patternFill>
    </fill>
    <fill>
      <patternFill patternType="solid">
        <fgColor rgb="FFC1E5F5"/>
        <bgColor rgb="FFCCFFFF"/>
      </patternFill>
    </fill>
    <fill>
      <patternFill patternType="solid">
        <fgColor rgb="FFFFFF00"/>
        <bgColor rgb="FFFFFF00"/>
      </patternFill>
    </fill>
  </fills>
  <borders count="3">
    <border diagonalUp="false" diagonalDown="false">
      <left/>
      <right/>
      <top/>
      <bottom/>
      <diagonal/>
    </border>
    <border diagonalUp="false" diagonalDown="false">
      <left style="thin"/>
      <right/>
      <top/>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tru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bottom" textRotation="0" wrapText="false" indent="0" shrinkToFit="false"/>
      <protection locked="true" hidden="false"/>
    </xf>
    <xf numFmtId="165" fontId="4" fillId="2" borderId="0" xfId="0" applyFont="true" applyBorder="true" applyAlignment="true" applyProtection="true">
      <alignment horizontal="center" vertical="bottom" textRotation="0" wrapText="false" indent="0" shrinkToFit="false"/>
      <protection locked="true" hidden="false"/>
    </xf>
    <xf numFmtId="166" fontId="5" fillId="0" borderId="0" xfId="0" applyFont="true" applyBorder="true" applyAlignment="true" applyProtection="true">
      <alignment horizontal="general" vertical="bottom" textRotation="0" wrapText="false" indent="0" shrinkToFit="false"/>
      <protection locked="true" hidden="false"/>
    </xf>
    <xf numFmtId="167"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5" fontId="0" fillId="0" borderId="0" xfId="0" applyFont="true" applyBorder="true" applyAlignment="true" applyProtection="tru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center" vertical="bottom" textRotation="0" wrapText="false" indent="0" shrinkToFit="false"/>
      <protection locked="true" hidden="false"/>
    </xf>
    <xf numFmtId="164" fontId="6" fillId="0" borderId="2" xfId="0" applyFont="true" applyBorder="true" applyAlignment="true" applyProtection="true">
      <alignment horizontal="center" vertical="bottom"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7" fillId="0" borderId="2" xfId="0" applyFont="true" applyBorder="true" applyAlignment="true" applyProtection="true">
      <alignment horizontal="center" vertical="bottom" textRotation="0" wrapText="false" indent="0" shrinkToFit="false"/>
      <protection locked="true" hidden="false"/>
    </xf>
    <xf numFmtId="164" fontId="7" fillId="0" borderId="2" xfId="0" applyFont="true" applyBorder="true" applyAlignment="true" applyProtection="true">
      <alignment horizontal="general" vertical="bottom" textRotation="0" wrapText="false" indent="0" shrinkToFit="false"/>
      <protection locked="true" hidden="false"/>
    </xf>
    <xf numFmtId="164" fontId="6" fillId="4" borderId="2" xfId="0" applyFont="true" applyBorder="true" applyAlignment="true" applyProtection="true">
      <alignment horizontal="general" vertical="bottom" textRotation="0" wrapText="false" indent="0" shrinkToFit="false"/>
      <protection locked="true" hidden="false"/>
    </xf>
    <xf numFmtId="164" fontId="6" fillId="4" borderId="2" xfId="0" applyFont="true" applyBorder="true" applyAlignment="true" applyProtection="true">
      <alignment horizontal="center" vertical="bottom" textRotation="0" wrapText="false" indent="0" shrinkToFit="false"/>
      <protection locked="true" hidden="false"/>
    </xf>
    <xf numFmtId="164" fontId="7" fillId="4" borderId="2"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center" vertical="bottom" textRotation="0" wrapText="false" indent="0" shrinkToFit="false"/>
      <protection locked="true" hidden="false"/>
    </xf>
    <xf numFmtId="164" fontId="7" fillId="0" borderId="2" xfId="0" applyFont="true" applyBorder="true" applyAlignment="true" applyProtection="true">
      <alignment horizontal="right"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2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J4" activeCellId="0" sqref="J4"/>
    </sheetView>
  </sheetViews>
  <sheetFormatPr defaultColWidth="8.6875" defaultRowHeight="12.75" zeroHeight="false" outlineLevelRow="0" outlineLevelCol="0"/>
  <cols>
    <col collapsed="false" customWidth="true" hidden="false" outlineLevel="0" max="1" min="1" style="0" width="16"/>
    <col collapsed="false" customWidth="true" hidden="false" outlineLevel="0" max="2" min="2" style="0" width="9"/>
    <col collapsed="false" customWidth="true" hidden="false" outlineLevel="0" max="3" min="3" style="0" width="19"/>
    <col collapsed="false" customWidth="true" hidden="false" outlineLevel="0" max="4" min="4" style="0" width="13.78"/>
    <col collapsed="false" customWidth="true" hidden="false" outlineLevel="0" max="5" min="5" style="0" width="20.45"/>
    <col collapsed="false" customWidth="true" hidden="false" outlineLevel="0" max="7" min="6" style="1" width="16"/>
    <col collapsed="false" customWidth="true" hidden="false" outlineLevel="0" max="10" min="10" style="1" width="8.89"/>
  </cols>
  <sheetData>
    <row r="1" customFormat="false" ht="14.25" hidden="false" customHeight="false" outlineLevel="0" collapsed="false">
      <c r="A1" s="2" t="s">
        <v>0</v>
      </c>
      <c r="B1" s="2" t="s">
        <v>1</v>
      </c>
      <c r="C1" s="2" t="s">
        <v>2</v>
      </c>
      <c r="D1" s="2" t="s">
        <v>3</v>
      </c>
      <c r="E1" s="2" t="s">
        <v>4</v>
      </c>
      <c r="F1" s="3" t="s">
        <v>5</v>
      </c>
      <c r="G1" s="3" t="s">
        <v>6</v>
      </c>
      <c r="H1" s="2" t="s">
        <v>7</v>
      </c>
      <c r="I1" s="4" t="s">
        <v>8</v>
      </c>
      <c r="J1" s="1" t="s">
        <v>9</v>
      </c>
      <c r="K1" s="0" t="s">
        <v>10</v>
      </c>
    </row>
    <row r="2" customFormat="false" ht="12.75" hidden="false" customHeight="false" outlineLevel="0" collapsed="false">
      <c r="A2" s="5" t="n">
        <v>2</v>
      </c>
      <c r="B2" s="6" t="s">
        <v>11</v>
      </c>
      <c r="C2" s="6" t="s">
        <v>12</v>
      </c>
      <c r="D2" s="6" t="s">
        <v>13</v>
      </c>
      <c r="E2" s="6" t="s">
        <v>14</v>
      </c>
      <c r="F2" s="7" t="n">
        <v>20027.93904127</v>
      </c>
      <c r="G2" s="7" t="n">
        <v>20027.939</v>
      </c>
      <c r="H2" s="6" t="s">
        <v>15</v>
      </c>
      <c r="I2" s="0" t="n">
        <v>4</v>
      </c>
      <c r="J2" s="1" t="n">
        <f aca="false">CONVERT(G2,"m^2","ha")</f>
        <v>2.0027939</v>
      </c>
      <c r="K2" s="8" t="b">
        <f aca="false">K3</f>
        <v>0</v>
      </c>
    </row>
    <row r="3" customFormat="false" ht="12.75" hidden="false" customHeight="false" outlineLevel="0" collapsed="false">
      <c r="A3" s="5" t="n">
        <v>7</v>
      </c>
      <c r="B3" s="6" t="s">
        <v>16</v>
      </c>
      <c r="C3" s="6" t="s">
        <v>12</v>
      </c>
      <c r="D3" s="6" t="s">
        <v>17</v>
      </c>
      <c r="E3" s="6" t="s">
        <v>14</v>
      </c>
      <c r="F3" s="7" t="n">
        <v>2098.66180352</v>
      </c>
      <c r="G3" s="7" t="n">
        <v>2098.822</v>
      </c>
      <c r="H3" s="6" t="s">
        <v>15</v>
      </c>
      <c r="I3" s="0" t="n">
        <v>4</v>
      </c>
      <c r="J3" s="1" t="n">
        <f aca="false">CONVERT(G3,"m^2","ha")</f>
        <v>0.2098822</v>
      </c>
      <c r="K3" s="8" t="b">
        <f aca="false">IF(J3&gt;(I3*2),((ROUNDDOWN(J3/I3,0))-1))</f>
        <v>0</v>
      </c>
    </row>
    <row r="4" customFormat="false" ht="12.75" hidden="false" customHeight="false" outlineLevel="0" collapsed="false">
      <c r="A4" s="5" t="n">
        <v>31</v>
      </c>
      <c r="B4" s="6" t="s">
        <v>18</v>
      </c>
      <c r="C4" s="6" t="s">
        <v>12</v>
      </c>
      <c r="D4" s="6" t="s">
        <v>19</v>
      </c>
      <c r="E4" s="6" t="s">
        <v>14</v>
      </c>
      <c r="F4" s="7" t="n">
        <v>22969.00420821</v>
      </c>
      <c r="G4" s="7" t="n">
        <v>22969.004</v>
      </c>
      <c r="H4" s="6" t="s">
        <v>15</v>
      </c>
      <c r="I4" s="0" t="n">
        <v>4</v>
      </c>
      <c r="J4" s="1" t="n">
        <f aca="false">CONVERT(G4,"m^2","ha")</f>
        <v>2.2969004</v>
      </c>
      <c r="K4" s="8" t="b">
        <f aca="false">IF(J4&gt;(I4*2),((ROUNDDOWN(J4/I4,0))-1))</f>
        <v>0</v>
      </c>
    </row>
    <row r="5" customFormat="false" ht="12.75" hidden="false" customHeight="false" outlineLevel="0" collapsed="false">
      <c r="A5" s="5" t="n">
        <v>34</v>
      </c>
      <c r="B5" s="6" t="s">
        <v>20</v>
      </c>
      <c r="C5" s="6" t="s">
        <v>12</v>
      </c>
      <c r="D5" s="6" t="s">
        <v>21</v>
      </c>
      <c r="E5" s="6" t="s">
        <v>14</v>
      </c>
      <c r="F5" s="7" t="n">
        <v>25418.261478665</v>
      </c>
      <c r="G5" s="7" t="n">
        <v>25418.261</v>
      </c>
      <c r="H5" s="6" t="s">
        <v>15</v>
      </c>
      <c r="I5" s="0" t="n">
        <v>4</v>
      </c>
      <c r="J5" s="1" t="n">
        <f aca="false">CONVERT(G5,"m^2","ha")</f>
        <v>2.5418261</v>
      </c>
      <c r="K5" s="8" t="b">
        <f aca="false">IF(J5&gt;(I5*2),((ROUNDDOWN(J5/I5,0))-1))</f>
        <v>0</v>
      </c>
    </row>
    <row r="6" customFormat="false" ht="12.75" hidden="false" customHeight="false" outlineLevel="0" collapsed="false">
      <c r="A6" s="5" t="n">
        <v>39</v>
      </c>
      <c r="B6" s="6" t="s">
        <v>22</v>
      </c>
      <c r="C6" s="6" t="s">
        <v>12</v>
      </c>
      <c r="D6" s="6" t="s">
        <v>23</v>
      </c>
      <c r="E6" s="6" t="s">
        <v>14</v>
      </c>
      <c r="F6" s="7" t="n">
        <v>19417.48825442</v>
      </c>
      <c r="G6" s="7" t="n">
        <v>19417.582</v>
      </c>
      <c r="H6" s="6" t="s">
        <v>15</v>
      </c>
      <c r="I6" s="0" t="n">
        <v>4</v>
      </c>
      <c r="J6" s="1" t="n">
        <f aca="false">CONVERT(G6,"m^2","ha")</f>
        <v>1.9417582</v>
      </c>
      <c r="K6" s="8" t="b">
        <f aca="false">IF(J6&gt;(I6*2),((ROUNDDOWN(J6/I6,0))-1))</f>
        <v>0</v>
      </c>
    </row>
    <row r="7" customFormat="false" ht="12.75" hidden="false" customHeight="false" outlineLevel="0" collapsed="false">
      <c r="A7" s="5" t="n">
        <v>40</v>
      </c>
      <c r="B7" s="6" t="s">
        <v>24</v>
      </c>
      <c r="C7" s="6" t="s">
        <v>12</v>
      </c>
      <c r="D7" s="6" t="s">
        <v>25</v>
      </c>
      <c r="E7" s="6" t="s">
        <v>14</v>
      </c>
      <c r="F7" s="7" t="n">
        <v>2691.64435755</v>
      </c>
      <c r="G7" s="7" t="n">
        <v>2691.644</v>
      </c>
      <c r="H7" s="6" t="s">
        <v>15</v>
      </c>
      <c r="I7" s="0" t="n">
        <v>4</v>
      </c>
      <c r="J7" s="1" t="n">
        <f aca="false">CONVERT(G7,"m^2","ha")</f>
        <v>0.2691644</v>
      </c>
      <c r="K7" s="8" t="b">
        <f aca="false">IF(J7&gt;(I7*2),((ROUNDDOWN(J7/I7,0))-1))</f>
        <v>0</v>
      </c>
    </row>
    <row r="8" customFormat="false" ht="12.75" hidden="false" customHeight="false" outlineLevel="0" collapsed="false">
      <c r="A8" s="5" t="n">
        <v>70</v>
      </c>
      <c r="B8" s="6" t="s">
        <v>26</v>
      </c>
      <c r="C8" s="6" t="s">
        <v>12</v>
      </c>
      <c r="D8" s="6" t="s">
        <v>27</v>
      </c>
      <c r="E8" s="6" t="s">
        <v>14</v>
      </c>
      <c r="F8" s="7" t="n">
        <v>104033.04516062</v>
      </c>
      <c r="G8" s="7" t="n">
        <v>104033.045</v>
      </c>
      <c r="H8" s="6" t="s">
        <v>15</v>
      </c>
      <c r="I8" s="0" t="n">
        <v>4</v>
      </c>
      <c r="J8" s="1" t="n">
        <f aca="false">CONVERT(G8,"m^2","ha")</f>
        <v>10.4033045</v>
      </c>
      <c r="K8" s="0" t="n">
        <f aca="false">IF(J8&gt;(I8*2),((ROUNDDOWN(J8/I8,0))-1))</f>
        <v>1</v>
      </c>
    </row>
    <row r="9" customFormat="false" ht="12.75" hidden="false" customHeight="false" outlineLevel="0" collapsed="false">
      <c r="A9" s="5" t="n">
        <v>96</v>
      </c>
      <c r="B9" s="6" t="s">
        <v>28</v>
      </c>
      <c r="C9" s="6" t="s">
        <v>12</v>
      </c>
      <c r="D9" s="6" t="s">
        <v>29</v>
      </c>
      <c r="E9" s="6" t="s">
        <v>14</v>
      </c>
      <c r="F9" s="7" t="n">
        <v>18178.75507391</v>
      </c>
      <c r="G9" s="7" t="n">
        <v>18178.755</v>
      </c>
      <c r="H9" s="6" t="s">
        <v>15</v>
      </c>
      <c r="I9" s="0" t="n">
        <v>4</v>
      </c>
      <c r="J9" s="1" t="n">
        <f aca="false">CONVERT(G9,"m^2","ha")</f>
        <v>1.8178755</v>
      </c>
      <c r="K9" s="0" t="b">
        <f aca="false">IF(J9&gt;(I9*2),((ROUNDDOWN(J9/I9,0))-1))</f>
        <v>0</v>
      </c>
    </row>
    <row r="10" customFormat="false" ht="12.75" hidden="false" customHeight="false" outlineLevel="0" collapsed="false">
      <c r="A10" s="5" t="n">
        <v>106</v>
      </c>
      <c r="B10" s="6" t="s">
        <v>30</v>
      </c>
      <c r="C10" s="6" t="s">
        <v>12</v>
      </c>
      <c r="D10" s="6" t="s">
        <v>31</v>
      </c>
      <c r="E10" s="6" t="s">
        <v>14</v>
      </c>
      <c r="F10" s="7" t="n">
        <v>20041.85430388</v>
      </c>
      <c r="G10" s="7" t="n">
        <v>20041.854</v>
      </c>
      <c r="H10" s="6" t="s">
        <v>15</v>
      </c>
      <c r="I10" s="0" t="n">
        <v>4</v>
      </c>
      <c r="J10" s="1" t="n">
        <f aca="false">CONVERT(G10,"m^2","ha")</f>
        <v>2.0041854</v>
      </c>
      <c r="K10" s="0" t="b">
        <f aca="false">IF(J10&gt;(I10*2),((ROUNDDOWN(J10/I10,0))-1))</f>
        <v>0</v>
      </c>
    </row>
    <row r="11" customFormat="false" ht="12.75" hidden="false" customHeight="false" outlineLevel="0" collapsed="false">
      <c r="A11" s="5" t="n">
        <v>109</v>
      </c>
      <c r="B11" s="6" t="s">
        <v>32</v>
      </c>
      <c r="C11" s="6" t="s">
        <v>12</v>
      </c>
      <c r="D11" s="6" t="s">
        <v>33</v>
      </c>
      <c r="E11" s="6" t="s">
        <v>14</v>
      </c>
      <c r="F11" s="7" t="n">
        <v>19512.974860455</v>
      </c>
      <c r="G11" s="7" t="n">
        <v>19512.975</v>
      </c>
      <c r="H11" s="6" t="s">
        <v>15</v>
      </c>
      <c r="I11" s="0" t="n">
        <v>4</v>
      </c>
      <c r="J11" s="1" t="n">
        <f aca="false">CONVERT(G11,"m^2","ha")</f>
        <v>1.9512975</v>
      </c>
      <c r="K11" s="0" t="b">
        <f aca="false">IF(J11&gt;(I11*2),((ROUNDDOWN(J11/I11,0))-1))</f>
        <v>0</v>
      </c>
    </row>
    <row r="12" customFormat="false" ht="12.75" hidden="false" customHeight="false" outlineLevel="0" collapsed="false">
      <c r="A12" s="5" t="n">
        <v>139</v>
      </c>
      <c r="B12" s="6" t="s">
        <v>34</v>
      </c>
      <c r="C12" s="6" t="s">
        <v>12</v>
      </c>
      <c r="D12" s="6" t="s">
        <v>35</v>
      </c>
      <c r="E12" s="6" t="s">
        <v>14</v>
      </c>
      <c r="F12" s="7" t="n">
        <v>40339.973761045</v>
      </c>
      <c r="G12" s="7" t="n">
        <v>40339.974</v>
      </c>
      <c r="H12" s="6" t="s">
        <v>15</v>
      </c>
      <c r="I12" s="0" t="n">
        <v>4</v>
      </c>
      <c r="J12" s="1" t="n">
        <f aca="false">CONVERT(G12,"m^2","ha")</f>
        <v>4.0339974</v>
      </c>
      <c r="K12" s="0" t="b">
        <f aca="false">IF(J12&gt;(I12*2),((ROUNDDOWN(J12/I12,0))-1))</f>
        <v>0</v>
      </c>
    </row>
    <row r="13" customFormat="false" ht="12.75" hidden="false" customHeight="false" outlineLevel="0" collapsed="false">
      <c r="A13" s="5" t="n">
        <v>142</v>
      </c>
      <c r="B13" s="6" t="s">
        <v>36</v>
      </c>
      <c r="C13" s="6" t="s">
        <v>12</v>
      </c>
      <c r="D13" s="6" t="s">
        <v>37</v>
      </c>
      <c r="E13" s="6" t="s">
        <v>14</v>
      </c>
      <c r="F13" s="7" t="n">
        <v>40259.96306858</v>
      </c>
      <c r="G13" s="7" t="n">
        <v>40259.963</v>
      </c>
      <c r="H13" s="6" t="s">
        <v>15</v>
      </c>
      <c r="I13" s="0" t="n">
        <v>4</v>
      </c>
      <c r="J13" s="1" t="n">
        <f aca="false">CONVERT(G13,"m^2","ha")</f>
        <v>4.0259963</v>
      </c>
      <c r="K13" s="0" t="b">
        <f aca="false">IF(J13&gt;(I13*2),((ROUNDDOWN(J13/I13,0))-1))</f>
        <v>0</v>
      </c>
    </row>
    <row r="14" customFormat="false" ht="12.75" hidden="false" customHeight="false" outlineLevel="0" collapsed="false">
      <c r="A14" s="5" t="n">
        <v>168</v>
      </c>
      <c r="B14" s="6" t="s">
        <v>38</v>
      </c>
      <c r="C14" s="6" t="s">
        <v>12</v>
      </c>
      <c r="D14" s="6" t="s">
        <v>39</v>
      </c>
      <c r="E14" s="6" t="s">
        <v>14</v>
      </c>
      <c r="F14" s="7" t="n">
        <v>40216.94276976</v>
      </c>
      <c r="G14" s="7" t="n">
        <v>40216.231</v>
      </c>
      <c r="H14" s="6" t="s">
        <v>15</v>
      </c>
      <c r="I14" s="0" t="n">
        <v>4</v>
      </c>
      <c r="J14" s="1" t="n">
        <f aca="false">CONVERT(G14,"m^2","ha")</f>
        <v>4.0216231</v>
      </c>
      <c r="K14" s="0" t="b">
        <f aca="false">IF(J14&gt;(I14*2),((ROUNDDOWN(J14/I14,0))-1))</f>
        <v>0</v>
      </c>
    </row>
    <row r="15" customFormat="false" ht="12.75" hidden="false" customHeight="false" outlineLevel="0" collapsed="false">
      <c r="A15" s="5" t="n">
        <v>178</v>
      </c>
      <c r="B15" s="6" t="s">
        <v>40</v>
      </c>
      <c r="C15" s="6" t="s">
        <v>12</v>
      </c>
      <c r="D15" s="6" t="s">
        <v>41</v>
      </c>
      <c r="E15" s="6" t="s">
        <v>14</v>
      </c>
      <c r="F15" s="7" t="n">
        <v>1877.924329285</v>
      </c>
      <c r="G15" s="7" t="n">
        <v>1877.9</v>
      </c>
      <c r="H15" s="6" t="s">
        <v>15</v>
      </c>
      <c r="I15" s="0" t="n">
        <v>4</v>
      </c>
      <c r="J15" s="1" t="n">
        <f aca="false">CONVERT(G15,"m^2","ha")</f>
        <v>0.18779</v>
      </c>
      <c r="K15" s="0" t="b">
        <f aca="false">IF(J15&gt;(I15*2),((ROUNDDOWN(J15/I15,0))-1))</f>
        <v>0</v>
      </c>
    </row>
    <row r="16" customFormat="false" ht="12.75" hidden="false" customHeight="false" outlineLevel="0" collapsed="false">
      <c r="A16" s="5" t="n">
        <v>194</v>
      </c>
      <c r="B16" s="6" t="s">
        <v>42</v>
      </c>
      <c r="C16" s="6" t="s">
        <v>12</v>
      </c>
      <c r="D16" s="6" t="s">
        <v>43</v>
      </c>
      <c r="E16" s="6" t="s">
        <v>14</v>
      </c>
      <c r="F16" s="7" t="n">
        <v>3195.22026886</v>
      </c>
      <c r="G16" s="7" t="n">
        <v>3194.996</v>
      </c>
      <c r="H16" s="6" t="s">
        <v>15</v>
      </c>
      <c r="I16" s="0" t="n">
        <v>4</v>
      </c>
      <c r="J16" s="1" t="n">
        <f aca="false">CONVERT(G16,"m^2","ha")</f>
        <v>0.3194996</v>
      </c>
      <c r="K16" s="0" t="b">
        <f aca="false">IF(J16&gt;(I16*2),((ROUNDDOWN(J16/I16,0))-1))</f>
        <v>0</v>
      </c>
    </row>
    <row r="17" customFormat="false" ht="12.75" hidden="false" customHeight="false" outlineLevel="0" collapsed="false">
      <c r="A17" s="5" t="n">
        <v>201</v>
      </c>
      <c r="B17" s="6" t="s">
        <v>44</v>
      </c>
      <c r="C17" s="6" t="s">
        <v>12</v>
      </c>
      <c r="D17" s="6" t="s">
        <v>45</v>
      </c>
      <c r="E17" s="6" t="s">
        <v>14</v>
      </c>
      <c r="F17" s="7" t="n">
        <v>40190.265537415</v>
      </c>
      <c r="G17" s="7" t="n">
        <v>40190.266</v>
      </c>
      <c r="H17" s="6" t="s">
        <v>15</v>
      </c>
      <c r="I17" s="0" t="n">
        <v>4</v>
      </c>
      <c r="J17" s="1" t="n">
        <f aca="false">CONVERT(G17,"m^2","ha")</f>
        <v>4.0190266</v>
      </c>
      <c r="K17" s="0" t="b">
        <f aca="false">IF(J17&gt;(I17*2),((ROUNDDOWN(J17/I17,0))-1))</f>
        <v>0</v>
      </c>
    </row>
    <row r="18" customFormat="false" ht="12.75" hidden="false" customHeight="false" outlineLevel="0" collapsed="false">
      <c r="A18" s="5" t="n">
        <v>208</v>
      </c>
      <c r="B18" s="6" t="s">
        <v>46</v>
      </c>
      <c r="C18" s="6" t="s">
        <v>12</v>
      </c>
      <c r="D18" s="6" t="s">
        <v>47</v>
      </c>
      <c r="E18" s="6" t="s">
        <v>14</v>
      </c>
      <c r="F18" s="7" t="n">
        <v>21406.786036385</v>
      </c>
      <c r="G18" s="7" t="n">
        <v>21406.786</v>
      </c>
      <c r="H18" s="6" t="s">
        <v>15</v>
      </c>
      <c r="I18" s="0" t="n">
        <v>4</v>
      </c>
      <c r="J18" s="1" t="n">
        <f aca="false">CONVERT(G18,"m^2","ha")</f>
        <v>2.1406786</v>
      </c>
      <c r="K18" s="0" t="b">
        <f aca="false">IF(J18&gt;(I18*2),((ROUNDDOWN(J18/I18,0))-1))</f>
        <v>0</v>
      </c>
    </row>
    <row r="19" customFormat="false" ht="12.75" hidden="false" customHeight="false" outlineLevel="0" collapsed="false">
      <c r="A19" s="5" t="n">
        <v>211</v>
      </c>
      <c r="B19" s="6" t="s">
        <v>48</v>
      </c>
      <c r="C19" s="6" t="s">
        <v>12</v>
      </c>
      <c r="D19" s="6" t="s">
        <v>49</v>
      </c>
      <c r="E19" s="6" t="s">
        <v>14</v>
      </c>
      <c r="F19" s="7" t="n">
        <v>21432.62586455</v>
      </c>
      <c r="G19" s="7" t="n">
        <v>21432.626</v>
      </c>
      <c r="H19" s="6" t="s">
        <v>15</v>
      </c>
      <c r="I19" s="0" t="n">
        <v>4</v>
      </c>
      <c r="J19" s="1" t="n">
        <f aca="false">CONVERT(G19,"m^2","ha")</f>
        <v>2.1432626</v>
      </c>
      <c r="K19" s="0" t="b">
        <f aca="false">IF(J19&gt;(I19*2),((ROUNDDOWN(J19/I19,0))-1))</f>
        <v>0</v>
      </c>
    </row>
    <row r="20" customFormat="false" ht="12.75" hidden="false" customHeight="false" outlineLevel="0" collapsed="false">
      <c r="A20" s="5" t="n">
        <v>213</v>
      </c>
      <c r="B20" s="6" t="s">
        <v>50</v>
      </c>
      <c r="C20" s="6" t="s">
        <v>12</v>
      </c>
      <c r="D20" s="6" t="s">
        <v>51</v>
      </c>
      <c r="E20" s="6" t="s">
        <v>14</v>
      </c>
      <c r="F20" s="7" t="n">
        <v>40140.50418255</v>
      </c>
      <c r="G20" s="7" t="n">
        <v>40140.504</v>
      </c>
      <c r="H20" s="6" t="s">
        <v>15</v>
      </c>
      <c r="I20" s="0" t="n">
        <v>4</v>
      </c>
      <c r="J20" s="1" t="n">
        <f aca="false">CONVERT(G20,"m^2","ha")</f>
        <v>4.0140504</v>
      </c>
      <c r="K20" s="0" t="b">
        <f aca="false">IF(J20&gt;(I20*2),((ROUNDDOWN(J20/I20,0))-1))</f>
        <v>0</v>
      </c>
    </row>
    <row r="21" customFormat="false" ht="12.75" hidden="false" customHeight="false" outlineLevel="0" collapsed="false">
      <c r="A21" s="5" t="n">
        <v>228</v>
      </c>
      <c r="B21" s="6" t="s">
        <v>52</v>
      </c>
      <c r="C21" s="6" t="s">
        <v>12</v>
      </c>
      <c r="D21" s="6" t="s">
        <v>53</v>
      </c>
      <c r="E21" s="6" t="s">
        <v>14</v>
      </c>
      <c r="F21" s="7" t="n">
        <v>30808.83012173</v>
      </c>
      <c r="G21" s="7" t="n">
        <v>30808.83</v>
      </c>
      <c r="H21" s="6" t="s">
        <v>15</v>
      </c>
      <c r="I21" s="0" t="n">
        <v>4</v>
      </c>
      <c r="J21" s="1" t="n">
        <f aca="false">CONVERT(G21,"m^2","ha")</f>
        <v>3.080883</v>
      </c>
      <c r="K21" s="0" t="b">
        <f aca="false">IF(J21&gt;(I21*2),((ROUNDDOWN(J21/I21,0))-1))</f>
        <v>0</v>
      </c>
    </row>
    <row r="22" customFormat="false" ht="12.75" hidden="false" customHeight="false" outlineLevel="0" collapsed="false">
      <c r="A22" s="5" t="n">
        <v>264</v>
      </c>
      <c r="B22" s="6" t="s">
        <v>54</v>
      </c>
      <c r="C22" s="6" t="s">
        <v>12</v>
      </c>
      <c r="D22" s="6" t="s">
        <v>55</v>
      </c>
      <c r="E22" s="6" t="s">
        <v>14</v>
      </c>
      <c r="F22" s="7" t="n">
        <v>5662.416554505</v>
      </c>
      <c r="G22" s="7" t="n">
        <v>5662.417</v>
      </c>
      <c r="H22" s="6" t="s">
        <v>15</v>
      </c>
      <c r="I22" s="0" t="n">
        <v>4</v>
      </c>
      <c r="J22" s="1" t="n">
        <f aca="false">CONVERT(G22,"m^2","ha")</f>
        <v>0.5662417</v>
      </c>
      <c r="K22" s="0" t="b">
        <f aca="false">IF(J22&gt;(I22*2),((ROUNDDOWN(J22/I22,0))-1))</f>
        <v>0</v>
      </c>
    </row>
    <row r="23" customFormat="false" ht="12.75" hidden="false" customHeight="false" outlineLevel="0" collapsed="false">
      <c r="A23" s="5" t="n">
        <v>278</v>
      </c>
      <c r="B23" s="6" t="s">
        <v>56</v>
      </c>
      <c r="C23" s="6" t="s">
        <v>12</v>
      </c>
      <c r="D23" s="6" t="s">
        <v>57</v>
      </c>
      <c r="E23" s="6" t="s">
        <v>14</v>
      </c>
      <c r="F23" s="7" t="n">
        <v>2732.800628305</v>
      </c>
      <c r="G23" s="7" t="n">
        <v>2732.801</v>
      </c>
      <c r="H23" s="6" t="s">
        <v>15</v>
      </c>
      <c r="I23" s="0" t="n">
        <v>4</v>
      </c>
      <c r="J23" s="1" t="n">
        <f aca="false">CONVERT(G23,"m^2","ha")</f>
        <v>0.2732801</v>
      </c>
      <c r="K23" s="0" t="b">
        <f aca="false">IF(J23&gt;(I23*2),((ROUNDDOWN(J23/I23,0))-1))</f>
        <v>0</v>
      </c>
    </row>
    <row r="24" customFormat="false" ht="12.75" hidden="false" customHeight="false" outlineLevel="0" collapsed="false">
      <c r="A24" s="5" t="n">
        <v>310</v>
      </c>
      <c r="B24" s="6" t="s">
        <v>58</v>
      </c>
      <c r="C24" s="6" t="s">
        <v>12</v>
      </c>
      <c r="D24" s="6" t="s">
        <v>59</v>
      </c>
      <c r="E24" s="6" t="s">
        <v>14</v>
      </c>
      <c r="F24" s="7" t="n">
        <v>41413.23995769</v>
      </c>
      <c r="G24" s="7" t="n">
        <v>41413.24</v>
      </c>
      <c r="H24" s="6" t="s">
        <v>15</v>
      </c>
      <c r="I24" s="0" t="n">
        <v>4</v>
      </c>
      <c r="J24" s="1" t="n">
        <f aca="false">CONVERT(G24,"m^2","ha")</f>
        <v>4.141324</v>
      </c>
      <c r="K24" s="0" t="b">
        <f aca="false">IF(J24&gt;(I24*2),((ROUNDDOWN(J24/I24,0))-1))</f>
        <v>0</v>
      </c>
    </row>
    <row r="25" customFormat="false" ht="12.75" hidden="false" customHeight="false" outlineLevel="0" collapsed="false">
      <c r="A25" s="5" t="n">
        <v>325</v>
      </c>
      <c r="B25" s="6" t="s">
        <v>60</v>
      </c>
      <c r="C25" s="6" t="s">
        <v>12</v>
      </c>
      <c r="D25" s="6" t="s">
        <v>61</v>
      </c>
      <c r="E25" s="6" t="s">
        <v>14</v>
      </c>
      <c r="F25" s="7" t="n">
        <v>39980.58237873</v>
      </c>
      <c r="G25" s="7" t="n">
        <v>39980.765</v>
      </c>
      <c r="H25" s="6" t="s">
        <v>15</v>
      </c>
      <c r="I25" s="0" t="n">
        <v>4</v>
      </c>
      <c r="J25" s="1" t="n">
        <f aca="false">CONVERT(G25,"m^2","ha")</f>
        <v>3.9980765</v>
      </c>
      <c r="K25" s="0" t="b">
        <f aca="false">IF(J25&gt;(I25*2),((ROUNDDOWN(J25/I25,0))-1))</f>
        <v>0</v>
      </c>
    </row>
    <row r="26" customFormat="false" ht="12.75" hidden="false" customHeight="false" outlineLevel="0" collapsed="false">
      <c r="A26" s="5" t="n">
        <v>346</v>
      </c>
      <c r="B26" s="6" t="s">
        <v>62</v>
      </c>
      <c r="C26" s="6" t="s">
        <v>12</v>
      </c>
      <c r="D26" s="6" t="s">
        <v>63</v>
      </c>
      <c r="E26" s="6" t="s">
        <v>14</v>
      </c>
      <c r="F26" s="7" t="n">
        <v>20828.400517035</v>
      </c>
      <c r="G26" s="7" t="n">
        <v>20828.401</v>
      </c>
      <c r="H26" s="6" t="s">
        <v>15</v>
      </c>
      <c r="I26" s="0" t="n">
        <v>4</v>
      </c>
      <c r="J26" s="1" t="n">
        <f aca="false">CONVERT(G26,"m^2","ha")</f>
        <v>2.0828401</v>
      </c>
      <c r="K26" s="0" t="b">
        <f aca="false">IF(J26&gt;(I26*2),((ROUNDDOWN(J26/I26,0))-1))</f>
        <v>0</v>
      </c>
    </row>
    <row r="27" customFormat="false" ht="12.75" hidden="false" customHeight="false" outlineLevel="0" collapsed="false">
      <c r="A27" s="5" t="n">
        <v>349</v>
      </c>
      <c r="B27" s="6" t="s">
        <v>64</v>
      </c>
      <c r="C27" s="6" t="s">
        <v>12</v>
      </c>
      <c r="D27" s="6" t="s">
        <v>65</v>
      </c>
      <c r="E27" s="6" t="s">
        <v>14</v>
      </c>
      <c r="F27" s="7" t="n">
        <v>3715.357772765</v>
      </c>
      <c r="G27" s="7" t="n">
        <v>3715.358</v>
      </c>
      <c r="H27" s="6" t="s">
        <v>15</v>
      </c>
      <c r="I27" s="0" t="n">
        <v>4</v>
      </c>
      <c r="J27" s="1" t="n">
        <f aca="false">CONVERT(G27,"m^2","ha")</f>
        <v>0.3715358</v>
      </c>
      <c r="K27" s="0" t="b">
        <f aca="false">IF(J27&gt;(I27*2),((ROUNDDOWN(J27/I27,0))-1))</f>
        <v>0</v>
      </c>
    </row>
    <row r="28" customFormat="false" ht="12.75" hidden="false" customHeight="false" outlineLevel="0" collapsed="false">
      <c r="A28" s="5" t="n">
        <v>371</v>
      </c>
      <c r="B28" s="6" t="s">
        <v>66</v>
      </c>
      <c r="C28" s="6" t="s">
        <v>12</v>
      </c>
      <c r="D28" s="6" t="s">
        <v>67</v>
      </c>
      <c r="E28" s="6" t="s">
        <v>14</v>
      </c>
      <c r="F28" s="7" t="n">
        <v>24250.713605365</v>
      </c>
      <c r="G28" s="7" t="n">
        <v>24250.714</v>
      </c>
      <c r="H28" s="6" t="s">
        <v>15</v>
      </c>
      <c r="I28" s="0" t="n">
        <v>4</v>
      </c>
      <c r="J28" s="1" t="n">
        <f aca="false">CONVERT(G28,"m^2","ha")</f>
        <v>2.4250714</v>
      </c>
      <c r="K28" s="0" t="b">
        <f aca="false">IF(J28&gt;(I28*2),((ROUNDDOWN(J28/I28,0))-1))</f>
        <v>0</v>
      </c>
    </row>
    <row r="29" customFormat="false" ht="12.75" hidden="false" customHeight="false" outlineLevel="0" collapsed="false">
      <c r="A29" s="5" t="n">
        <v>377</v>
      </c>
      <c r="B29" s="6" t="s">
        <v>68</v>
      </c>
      <c r="C29" s="6" t="s">
        <v>12</v>
      </c>
      <c r="D29" s="6" t="s">
        <v>69</v>
      </c>
      <c r="E29" s="6" t="s">
        <v>14</v>
      </c>
      <c r="F29" s="7" t="n">
        <v>72435.23108342</v>
      </c>
      <c r="G29" s="7" t="n">
        <v>72435.254</v>
      </c>
      <c r="H29" s="6" t="s">
        <v>15</v>
      </c>
      <c r="I29" s="0" t="n">
        <v>4</v>
      </c>
      <c r="J29" s="1" t="n">
        <f aca="false">CONVERT(G29,"m^2","ha")</f>
        <v>7.2435254</v>
      </c>
      <c r="K29" s="0" t="b">
        <f aca="false">IF(J29&gt;(I29*2),((ROUNDDOWN(J29/I29,0))-1))</f>
        <v>0</v>
      </c>
    </row>
    <row r="30" customFormat="false" ht="12.75" hidden="false" customHeight="false" outlineLevel="0" collapsed="false">
      <c r="A30" s="5" t="n">
        <v>381</v>
      </c>
      <c r="B30" s="6" t="s">
        <v>70</v>
      </c>
      <c r="C30" s="6" t="s">
        <v>12</v>
      </c>
      <c r="D30" s="6" t="s">
        <v>71</v>
      </c>
      <c r="E30" s="6" t="s">
        <v>14</v>
      </c>
      <c r="F30" s="7" t="n">
        <v>2058.854132215</v>
      </c>
      <c r="G30" s="7" t="n">
        <v>2059.252</v>
      </c>
      <c r="H30" s="6" t="s">
        <v>15</v>
      </c>
      <c r="I30" s="0" t="n">
        <v>4</v>
      </c>
      <c r="J30" s="1" t="n">
        <f aca="false">CONVERT(G30,"m^2","ha")</f>
        <v>0.2059252</v>
      </c>
      <c r="K30" s="0" t="b">
        <f aca="false">IF(J30&gt;(I30*2),((ROUNDDOWN(J30/I30,0))-1))</f>
        <v>0</v>
      </c>
    </row>
    <row r="31" customFormat="false" ht="12.75" hidden="false" customHeight="false" outlineLevel="0" collapsed="false">
      <c r="A31" s="5" t="n">
        <v>382</v>
      </c>
      <c r="B31" s="6" t="s">
        <v>72</v>
      </c>
      <c r="C31" s="6" t="s">
        <v>12</v>
      </c>
      <c r="D31" s="6" t="s">
        <v>73</v>
      </c>
      <c r="E31" s="6" t="s">
        <v>14</v>
      </c>
      <c r="F31" s="7" t="n">
        <v>3067.89190983</v>
      </c>
      <c r="G31" s="7" t="n">
        <v>3067.892</v>
      </c>
      <c r="H31" s="6" t="s">
        <v>15</v>
      </c>
      <c r="I31" s="0" t="n">
        <v>4</v>
      </c>
      <c r="J31" s="1" t="n">
        <f aca="false">CONVERT(G31,"m^2","ha")</f>
        <v>0.3067892</v>
      </c>
      <c r="K31" s="0" t="b">
        <f aca="false">IF(J31&gt;(I31*2),((ROUNDDOWN(J31/I31,0))-1))</f>
        <v>0</v>
      </c>
    </row>
    <row r="32" customFormat="false" ht="12.75" hidden="false" customHeight="false" outlineLevel="0" collapsed="false">
      <c r="A32" s="5" t="n">
        <v>392</v>
      </c>
      <c r="B32" s="6" t="s">
        <v>74</v>
      </c>
      <c r="C32" s="6" t="s">
        <v>12</v>
      </c>
      <c r="D32" s="6" t="s">
        <v>75</v>
      </c>
      <c r="E32" s="6" t="s">
        <v>14</v>
      </c>
      <c r="F32" s="7" t="n">
        <v>38621.567154295</v>
      </c>
      <c r="G32" s="7" t="n">
        <v>38623.397</v>
      </c>
      <c r="H32" s="6" t="s">
        <v>15</v>
      </c>
      <c r="I32" s="0" t="n">
        <v>4</v>
      </c>
      <c r="J32" s="1" t="n">
        <f aca="false">CONVERT(G32,"m^2","ha")</f>
        <v>3.8623397</v>
      </c>
      <c r="K32" s="0" t="b">
        <f aca="false">IF(J32&gt;(I32*2),((ROUNDDOWN(J32/I32,0))-1))</f>
        <v>0</v>
      </c>
    </row>
    <row r="33" customFormat="false" ht="12.75" hidden="false" customHeight="false" outlineLevel="0" collapsed="false">
      <c r="A33" s="5" t="n">
        <v>404</v>
      </c>
      <c r="B33" s="6" t="s">
        <v>76</v>
      </c>
      <c r="C33" s="6" t="s">
        <v>12</v>
      </c>
      <c r="D33" s="6" t="s">
        <v>77</v>
      </c>
      <c r="E33" s="6" t="s">
        <v>14</v>
      </c>
      <c r="F33" s="7" t="n">
        <v>3235.43351378</v>
      </c>
      <c r="G33" s="7" t="n">
        <v>3235.434</v>
      </c>
      <c r="H33" s="6" t="s">
        <v>15</v>
      </c>
      <c r="I33" s="0" t="n">
        <v>4</v>
      </c>
      <c r="J33" s="1" t="n">
        <f aca="false">CONVERT(G33,"m^2","ha")</f>
        <v>0.3235434</v>
      </c>
      <c r="K33" s="0" t="b">
        <f aca="false">IF(J33&gt;(I33*2),((ROUNDDOWN(J33/I33,0))-1))</f>
        <v>0</v>
      </c>
    </row>
    <row r="34" customFormat="false" ht="12.75" hidden="false" customHeight="false" outlineLevel="0" collapsed="false">
      <c r="A34" s="5" t="n">
        <v>405</v>
      </c>
      <c r="B34" s="6" t="s">
        <v>78</v>
      </c>
      <c r="C34" s="6" t="s">
        <v>12</v>
      </c>
      <c r="D34" s="6" t="s">
        <v>79</v>
      </c>
      <c r="E34" s="6" t="s">
        <v>14</v>
      </c>
      <c r="F34" s="7" t="n">
        <v>78347.760205445</v>
      </c>
      <c r="G34" s="7" t="n">
        <v>78347.76</v>
      </c>
      <c r="H34" s="6" t="s">
        <v>15</v>
      </c>
      <c r="I34" s="0" t="n">
        <v>4</v>
      </c>
      <c r="J34" s="1" t="n">
        <f aca="false">CONVERT(G34,"m^2","ha")</f>
        <v>7.834776</v>
      </c>
      <c r="K34" s="0" t="b">
        <f aca="false">IF(J34&gt;(I34*2),((ROUNDDOWN(J34/I34,0))-1))</f>
        <v>0</v>
      </c>
    </row>
    <row r="35" customFormat="false" ht="12.75" hidden="false" customHeight="false" outlineLevel="0" collapsed="false">
      <c r="A35" s="5" t="n">
        <v>406</v>
      </c>
      <c r="B35" s="6" t="s">
        <v>80</v>
      </c>
      <c r="C35" s="6" t="s">
        <v>12</v>
      </c>
      <c r="D35" s="6" t="s">
        <v>81</v>
      </c>
      <c r="E35" s="6" t="s">
        <v>14</v>
      </c>
      <c r="F35" s="7" t="n">
        <v>82108.18211988</v>
      </c>
      <c r="G35" s="7" t="n">
        <v>82108.182</v>
      </c>
      <c r="H35" s="6" t="s">
        <v>15</v>
      </c>
      <c r="I35" s="0" t="n">
        <v>4</v>
      </c>
      <c r="J35" s="1" t="n">
        <f aca="false">CONVERT(G35,"m^2","ha")</f>
        <v>8.2108182</v>
      </c>
      <c r="K35" s="0" t="n">
        <f aca="false">IF(J35&gt;(I35*2),((ROUNDDOWN(J35/I35,0))-1))</f>
        <v>1</v>
      </c>
    </row>
    <row r="36" customFormat="false" ht="12.75" hidden="false" customHeight="false" outlineLevel="0" collapsed="false">
      <c r="A36" s="5" t="n">
        <v>412</v>
      </c>
      <c r="B36" s="6" t="s">
        <v>82</v>
      </c>
      <c r="C36" s="6" t="s">
        <v>12</v>
      </c>
      <c r="D36" s="6" t="s">
        <v>83</v>
      </c>
      <c r="E36" s="6" t="s">
        <v>14</v>
      </c>
      <c r="F36" s="7" t="n">
        <v>2273.695322385</v>
      </c>
      <c r="G36" s="7" t="n">
        <v>2273.695</v>
      </c>
      <c r="H36" s="6" t="s">
        <v>15</v>
      </c>
      <c r="I36" s="0" t="n">
        <v>4</v>
      </c>
      <c r="J36" s="1" t="n">
        <f aca="false">CONVERT(G36,"m^2","ha")</f>
        <v>0.2273695</v>
      </c>
      <c r="K36" s="0" t="b">
        <f aca="false">IF(J36&gt;(I36*2),((ROUNDDOWN(J36/I36,0))-1))</f>
        <v>0</v>
      </c>
    </row>
    <row r="37" customFormat="false" ht="12.75" hidden="false" customHeight="false" outlineLevel="0" collapsed="false">
      <c r="A37" s="5" t="n">
        <v>414</v>
      </c>
      <c r="B37" s="6" t="s">
        <v>84</v>
      </c>
      <c r="C37" s="6" t="s">
        <v>12</v>
      </c>
      <c r="D37" s="6" t="s">
        <v>85</v>
      </c>
      <c r="E37" s="6" t="s">
        <v>14</v>
      </c>
      <c r="F37" s="7" t="n">
        <v>2823.422208585</v>
      </c>
      <c r="G37" s="7" t="n">
        <v>2824.003</v>
      </c>
      <c r="H37" s="6" t="s">
        <v>15</v>
      </c>
      <c r="I37" s="0" t="n">
        <v>4</v>
      </c>
      <c r="J37" s="1" t="n">
        <f aca="false">CONVERT(G37,"m^2","ha")</f>
        <v>0.2824003</v>
      </c>
      <c r="K37" s="0" t="b">
        <f aca="false">IF(J37&gt;(I37*2),((ROUNDDOWN(J37/I37,0))-1))</f>
        <v>0</v>
      </c>
    </row>
    <row r="38" customFormat="false" ht="12.75" hidden="false" customHeight="false" outlineLevel="0" collapsed="false">
      <c r="A38" s="5" t="n">
        <v>419</v>
      </c>
      <c r="B38" s="6" t="s">
        <v>86</v>
      </c>
      <c r="C38" s="6" t="s">
        <v>12</v>
      </c>
      <c r="D38" s="6" t="s">
        <v>87</v>
      </c>
      <c r="E38" s="6" t="s">
        <v>14</v>
      </c>
      <c r="F38" s="7" t="n">
        <v>86844.521177195</v>
      </c>
      <c r="G38" s="7" t="n">
        <v>86844.666</v>
      </c>
      <c r="H38" s="6" t="s">
        <v>15</v>
      </c>
      <c r="I38" s="0" t="n">
        <v>4</v>
      </c>
      <c r="J38" s="1" t="n">
        <f aca="false">CONVERT(G38,"m^2","ha")</f>
        <v>8.6844666</v>
      </c>
      <c r="K38" s="0" t="n">
        <f aca="false">IF(J38&gt;(I38*2),((ROUNDDOWN(J38/I38,0))-1))</f>
        <v>1</v>
      </c>
    </row>
    <row r="39" customFormat="false" ht="12.75" hidden="false" customHeight="false" outlineLevel="0" collapsed="false">
      <c r="A39" s="5" t="n">
        <v>423</v>
      </c>
      <c r="B39" s="6" t="s">
        <v>88</v>
      </c>
      <c r="C39" s="6" t="s">
        <v>89</v>
      </c>
      <c r="D39" s="6" t="s">
        <v>90</v>
      </c>
      <c r="E39" s="6" t="s">
        <v>14</v>
      </c>
      <c r="F39" s="7" t="n">
        <v>9636.6822755</v>
      </c>
      <c r="G39" s="7" t="n">
        <v>9636.682</v>
      </c>
      <c r="H39" s="6" t="s">
        <v>15</v>
      </c>
      <c r="I39" s="0" t="n">
        <v>4</v>
      </c>
      <c r="J39" s="1" t="n">
        <f aca="false">CONVERT(G39,"m^2","ha")</f>
        <v>0.9636682</v>
      </c>
      <c r="K39" s="0" t="b">
        <f aca="false">IF(J39&gt;(I39*2),((ROUNDDOWN(J39/I39,0))-1))</f>
        <v>0</v>
      </c>
    </row>
    <row r="40" customFormat="false" ht="12.75" hidden="false" customHeight="false" outlineLevel="0" collapsed="false">
      <c r="A40" s="5" t="n">
        <v>424</v>
      </c>
      <c r="B40" s="6" t="s">
        <v>91</v>
      </c>
      <c r="C40" s="6" t="s">
        <v>89</v>
      </c>
      <c r="D40" s="6" t="s">
        <v>92</v>
      </c>
      <c r="E40" s="6" t="s">
        <v>14</v>
      </c>
      <c r="F40" s="7" t="n">
        <v>8338.329074415</v>
      </c>
      <c r="G40" s="7" t="n">
        <v>8338.329</v>
      </c>
      <c r="H40" s="6" t="s">
        <v>15</v>
      </c>
      <c r="I40" s="0" t="n">
        <v>4</v>
      </c>
      <c r="J40" s="1" t="n">
        <f aca="false">CONVERT(G40,"m^2","ha")</f>
        <v>0.8338329</v>
      </c>
      <c r="K40" s="0" t="b">
        <f aca="false">IF(J40&gt;(I40*2),((ROUNDDOWN(J40/I40,0))-1))</f>
        <v>0</v>
      </c>
    </row>
    <row r="41" customFormat="false" ht="12.75" hidden="false" customHeight="false" outlineLevel="0" collapsed="false">
      <c r="A41" s="5" t="n">
        <v>549</v>
      </c>
      <c r="B41" s="6" t="s">
        <v>93</v>
      </c>
      <c r="C41" s="6" t="s">
        <v>12</v>
      </c>
      <c r="D41" s="6" t="s">
        <v>94</v>
      </c>
      <c r="E41" s="6" t="s">
        <v>14</v>
      </c>
      <c r="F41" s="7" t="n">
        <v>18232.893137215</v>
      </c>
      <c r="G41" s="7" t="n">
        <v>18232.893</v>
      </c>
      <c r="H41" s="6" t="s">
        <v>15</v>
      </c>
      <c r="I41" s="0" t="n">
        <v>4</v>
      </c>
      <c r="J41" s="1" t="n">
        <f aca="false">CONVERT(G41,"m^2","ha")</f>
        <v>1.8232893</v>
      </c>
      <c r="K41" s="0" t="b">
        <f aca="false">IF(J41&gt;(I41*2),((ROUNDDOWN(J41/I41,0))-1))</f>
        <v>0</v>
      </c>
    </row>
    <row r="42" customFormat="false" ht="12.75" hidden="false" customHeight="false" outlineLevel="0" collapsed="false">
      <c r="A42" s="5" t="n">
        <v>555</v>
      </c>
      <c r="B42" s="6" t="s">
        <v>95</v>
      </c>
      <c r="C42" s="6" t="s">
        <v>12</v>
      </c>
      <c r="D42" s="6" t="s">
        <v>96</v>
      </c>
      <c r="E42" s="6" t="s">
        <v>14</v>
      </c>
      <c r="F42" s="7" t="n">
        <v>15305.991084845</v>
      </c>
      <c r="G42" s="7" t="n">
        <v>15305.991</v>
      </c>
      <c r="H42" s="6" t="s">
        <v>15</v>
      </c>
      <c r="I42" s="0" t="n">
        <v>4</v>
      </c>
      <c r="J42" s="1" t="n">
        <f aca="false">CONVERT(G42,"m^2","ha")</f>
        <v>1.5305991</v>
      </c>
      <c r="K42" s="0" t="b">
        <f aca="false">IF(J42&gt;(I42*2),((ROUNDDOWN(J42/I42,0))-1))</f>
        <v>0</v>
      </c>
    </row>
    <row r="43" customFormat="false" ht="12.75" hidden="false" customHeight="false" outlineLevel="0" collapsed="false">
      <c r="A43" s="5" t="n">
        <v>573</v>
      </c>
      <c r="B43" s="6" t="s">
        <v>97</v>
      </c>
      <c r="C43" s="6" t="s">
        <v>12</v>
      </c>
      <c r="D43" s="6" t="s">
        <v>98</v>
      </c>
      <c r="E43" s="6" t="s">
        <v>14</v>
      </c>
      <c r="F43" s="7" t="n">
        <v>8139.61951482</v>
      </c>
      <c r="G43" s="7" t="n">
        <v>8139.62</v>
      </c>
      <c r="H43" s="6" t="s">
        <v>15</v>
      </c>
      <c r="I43" s="0" t="n">
        <v>4</v>
      </c>
      <c r="J43" s="1" t="n">
        <f aca="false">CONVERT(G43,"m^2","ha")</f>
        <v>0.813962</v>
      </c>
      <c r="K43" s="0" t="b">
        <f aca="false">IF(J43&gt;(I43*2),((ROUNDDOWN(J43/I43,0))-1))</f>
        <v>0</v>
      </c>
    </row>
    <row r="44" customFormat="false" ht="12.75" hidden="false" customHeight="false" outlineLevel="0" collapsed="false">
      <c r="A44" s="5" t="n">
        <v>592</v>
      </c>
      <c r="B44" s="6" t="s">
        <v>99</v>
      </c>
      <c r="C44" s="6" t="s">
        <v>12</v>
      </c>
      <c r="D44" s="6" t="s">
        <v>100</v>
      </c>
      <c r="E44" s="6" t="s">
        <v>14</v>
      </c>
      <c r="F44" s="7" t="n">
        <v>11200.62138007</v>
      </c>
      <c r="G44" s="7" t="n">
        <v>11200.621</v>
      </c>
      <c r="H44" s="6" t="s">
        <v>15</v>
      </c>
      <c r="I44" s="0" t="n">
        <v>4</v>
      </c>
      <c r="J44" s="1" t="n">
        <f aca="false">CONVERT(G44,"m^2","ha")</f>
        <v>1.1200621</v>
      </c>
      <c r="K44" s="0" t="b">
        <f aca="false">IF(J44&gt;(I44*2),((ROUNDDOWN(J44/I44,0))-1))</f>
        <v>0</v>
      </c>
    </row>
    <row r="45" customFormat="false" ht="12.75" hidden="false" customHeight="false" outlineLevel="0" collapsed="false">
      <c r="A45" s="5" t="n">
        <v>742</v>
      </c>
      <c r="B45" s="6" t="s">
        <v>101</v>
      </c>
      <c r="C45" s="6" t="s">
        <v>12</v>
      </c>
      <c r="D45" s="6" t="s">
        <v>102</v>
      </c>
      <c r="E45" s="6" t="s">
        <v>14</v>
      </c>
      <c r="F45" s="7" t="n">
        <v>2837.428517575</v>
      </c>
      <c r="G45" s="7" t="n">
        <v>2837.184</v>
      </c>
      <c r="H45" s="6" t="s">
        <v>15</v>
      </c>
      <c r="I45" s="0" t="n">
        <v>4</v>
      </c>
      <c r="J45" s="1" t="n">
        <f aca="false">CONVERT(G45,"m^2","ha")</f>
        <v>0.2837184</v>
      </c>
      <c r="K45" s="0" t="b">
        <f aca="false">IF(J45&gt;(I45*2),((ROUNDDOWN(J45/I45,0))-1))</f>
        <v>0</v>
      </c>
    </row>
    <row r="46" customFormat="false" ht="12.75" hidden="false" customHeight="false" outlineLevel="0" collapsed="false">
      <c r="A46" s="5" t="n">
        <v>743</v>
      </c>
      <c r="B46" s="6" t="s">
        <v>103</v>
      </c>
      <c r="C46" s="6" t="s">
        <v>89</v>
      </c>
      <c r="D46" s="6" t="s">
        <v>104</v>
      </c>
      <c r="E46" s="6" t="s">
        <v>14</v>
      </c>
      <c r="F46" s="7" t="n">
        <v>6636.369457685</v>
      </c>
      <c r="G46" s="7" t="n">
        <v>6636.369</v>
      </c>
      <c r="H46" s="6" t="s">
        <v>15</v>
      </c>
      <c r="I46" s="0" t="n">
        <v>4</v>
      </c>
      <c r="J46" s="1" t="n">
        <f aca="false">CONVERT(G46,"m^2","ha")</f>
        <v>0.6636369</v>
      </c>
      <c r="K46" s="0" t="b">
        <f aca="false">IF(J46&gt;(I46*2),((ROUNDDOWN(J46/I46,0))-1))</f>
        <v>0</v>
      </c>
    </row>
    <row r="47" customFormat="false" ht="12.75" hidden="false" customHeight="false" outlineLevel="0" collapsed="false">
      <c r="A47" s="5" t="n">
        <v>746</v>
      </c>
      <c r="B47" s="6" t="s">
        <v>105</v>
      </c>
      <c r="C47" s="6" t="s">
        <v>89</v>
      </c>
      <c r="D47" s="6" t="s">
        <v>106</v>
      </c>
      <c r="E47" s="6" t="s">
        <v>14</v>
      </c>
      <c r="F47" s="7" t="n">
        <v>5289.36423971</v>
      </c>
      <c r="G47" s="7" t="n">
        <v>5289.364</v>
      </c>
      <c r="H47" s="6" t="s">
        <v>15</v>
      </c>
      <c r="I47" s="0" t="n">
        <v>4</v>
      </c>
      <c r="J47" s="1" t="n">
        <f aca="false">CONVERT(G47,"m^2","ha")</f>
        <v>0.5289364</v>
      </c>
      <c r="K47" s="0" t="b">
        <f aca="false">IF(J47&gt;(I47*2),((ROUNDDOWN(J47/I47,0))-1))</f>
        <v>0</v>
      </c>
    </row>
    <row r="48" customFormat="false" ht="12.75" hidden="false" customHeight="false" outlineLevel="0" collapsed="false">
      <c r="A48" s="5" t="n">
        <v>747</v>
      </c>
      <c r="B48" s="6" t="s">
        <v>107</v>
      </c>
      <c r="C48" s="6" t="s">
        <v>12</v>
      </c>
      <c r="D48" s="6" t="s">
        <v>108</v>
      </c>
      <c r="E48" s="6" t="s">
        <v>14</v>
      </c>
      <c r="F48" s="7" t="n">
        <v>22141.46668179</v>
      </c>
      <c r="G48" s="7" t="n">
        <v>22141.844</v>
      </c>
      <c r="H48" s="6" t="s">
        <v>15</v>
      </c>
      <c r="I48" s="0" t="n">
        <v>4</v>
      </c>
      <c r="J48" s="1" t="n">
        <f aca="false">CONVERT(G48,"m^2","ha")</f>
        <v>2.2141844</v>
      </c>
      <c r="K48" s="0" t="b">
        <f aca="false">IF(J48&gt;(I48*2),((ROUNDDOWN(J48/I48,0))-1))</f>
        <v>0</v>
      </c>
    </row>
    <row r="49" customFormat="false" ht="12.75" hidden="false" customHeight="false" outlineLevel="0" collapsed="false">
      <c r="A49" s="5" t="n">
        <v>750</v>
      </c>
      <c r="B49" s="6" t="s">
        <v>109</v>
      </c>
      <c r="C49" s="6" t="s">
        <v>89</v>
      </c>
      <c r="D49" s="6" t="s">
        <v>110</v>
      </c>
      <c r="E49" s="6" t="s">
        <v>14</v>
      </c>
      <c r="F49" s="7" t="n">
        <v>5013.857351815</v>
      </c>
      <c r="G49" s="7" t="n">
        <v>5013.857</v>
      </c>
      <c r="H49" s="6" t="s">
        <v>15</v>
      </c>
      <c r="I49" s="0" t="n">
        <v>4</v>
      </c>
      <c r="J49" s="1" t="n">
        <f aca="false">CONVERT(G49,"m^2","ha")</f>
        <v>0.5013857</v>
      </c>
      <c r="K49" s="0" t="b">
        <f aca="false">IF(J49&gt;(I49*2),((ROUNDDOWN(J49/I49,0))-1))</f>
        <v>0</v>
      </c>
    </row>
    <row r="50" customFormat="false" ht="12.75" hidden="false" customHeight="false" outlineLevel="0" collapsed="false">
      <c r="A50" s="5" t="n">
        <v>752</v>
      </c>
      <c r="B50" s="6" t="s">
        <v>111</v>
      </c>
      <c r="C50" s="6" t="s">
        <v>89</v>
      </c>
      <c r="D50" s="6" t="s">
        <v>112</v>
      </c>
      <c r="E50" s="6" t="s">
        <v>14</v>
      </c>
      <c r="F50" s="7" t="n">
        <v>10273.960368235</v>
      </c>
      <c r="G50" s="7" t="n">
        <v>10274.431</v>
      </c>
      <c r="H50" s="6" t="s">
        <v>15</v>
      </c>
      <c r="I50" s="0" t="n">
        <v>4</v>
      </c>
      <c r="J50" s="1" t="n">
        <f aca="false">CONVERT(G50,"m^2","ha")</f>
        <v>1.0274431</v>
      </c>
      <c r="K50" s="0" t="b">
        <f aca="false">IF(J50&gt;(I50*2),((ROUNDDOWN(J50/I50,0))-1))</f>
        <v>0</v>
      </c>
    </row>
    <row r="51" customFormat="false" ht="12.75" hidden="false" customHeight="false" outlineLevel="0" collapsed="false">
      <c r="A51" s="5" t="n">
        <v>761</v>
      </c>
      <c r="B51" s="6" t="s">
        <v>113</v>
      </c>
      <c r="C51" s="6" t="s">
        <v>89</v>
      </c>
      <c r="D51" s="6" t="s">
        <v>114</v>
      </c>
      <c r="E51" s="6" t="s">
        <v>14</v>
      </c>
      <c r="F51" s="7" t="n">
        <v>5136.23706283</v>
      </c>
      <c r="G51" s="7" t="n">
        <v>5135.794</v>
      </c>
      <c r="H51" s="6" t="s">
        <v>15</v>
      </c>
      <c r="I51" s="0" t="n">
        <v>4</v>
      </c>
      <c r="J51" s="1" t="n">
        <f aca="false">CONVERT(G51,"m^2","ha")</f>
        <v>0.5135794</v>
      </c>
      <c r="K51" s="0" t="b">
        <f aca="false">IF(J51&gt;(I51*2),((ROUNDDOWN(J51/I51,0))-1))</f>
        <v>0</v>
      </c>
    </row>
    <row r="52" customFormat="false" ht="12.75" hidden="false" customHeight="false" outlineLevel="0" collapsed="false">
      <c r="A52" s="5" t="n">
        <v>766</v>
      </c>
      <c r="B52" s="6" t="s">
        <v>115</v>
      </c>
      <c r="C52" s="6" t="s">
        <v>89</v>
      </c>
      <c r="D52" s="6" t="s">
        <v>116</v>
      </c>
      <c r="E52" s="6" t="s">
        <v>14</v>
      </c>
      <c r="F52" s="7" t="n">
        <v>4937.37424956</v>
      </c>
      <c r="G52" s="7" t="n">
        <v>4935.511</v>
      </c>
      <c r="H52" s="6" t="s">
        <v>15</v>
      </c>
      <c r="I52" s="0" t="n">
        <v>4</v>
      </c>
      <c r="J52" s="1" t="n">
        <f aca="false">CONVERT(G52,"m^2","ha")</f>
        <v>0.4935511</v>
      </c>
      <c r="K52" s="0" t="b">
        <f aca="false">IF(J52&gt;(I52*2),((ROUNDDOWN(J52/I52,0))-1))</f>
        <v>0</v>
      </c>
    </row>
    <row r="53" customFormat="false" ht="12.75" hidden="false" customHeight="false" outlineLevel="0" collapsed="false">
      <c r="A53" s="5" t="n">
        <v>768</v>
      </c>
      <c r="B53" s="6" t="s">
        <v>117</v>
      </c>
      <c r="C53" s="6" t="s">
        <v>12</v>
      </c>
      <c r="D53" s="6" t="s">
        <v>118</v>
      </c>
      <c r="E53" s="6" t="s">
        <v>14</v>
      </c>
      <c r="F53" s="7" t="n">
        <v>7909.78460196</v>
      </c>
      <c r="G53" s="7" t="n">
        <v>7909.785</v>
      </c>
      <c r="H53" s="6" t="s">
        <v>15</v>
      </c>
      <c r="I53" s="0" t="n">
        <v>4</v>
      </c>
      <c r="J53" s="1" t="n">
        <f aca="false">CONVERT(G53,"m^2","ha")</f>
        <v>0.7909785</v>
      </c>
      <c r="K53" s="0" t="b">
        <f aca="false">IF(J53&gt;(I53*2),((ROUNDDOWN(J53/I53,0))-1))</f>
        <v>0</v>
      </c>
    </row>
    <row r="54" customFormat="false" ht="12.75" hidden="false" customHeight="false" outlineLevel="0" collapsed="false">
      <c r="A54" s="5" t="n">
        <v>775</v>
      </c>
      <c r="B54" s="6" t="s">
        <v>119</v>
      </c>
      <c r="C54" s="6" t="s">
        <v>89</v>
      </c>
      <c r="D54" s="6" t="s">
        <v>120</v>
      </c>
      <c r="E54" s="6" t="s">
        <v>14</v>
      </c>
      <c r="F54" s="7" t="n">
        <v>4888.54371479</v>
      </c>
      <c r="G54" s="7" t="n">
        <v>4888.544</v>
      </c>
      <c r="H54" s="6" t="s">
        <v>15</v>
      </c>
      <c r="I54" s="0" t="n">
        <v>4</v>
      </c>
      <c r="J54" s="1" t="n">
        <f aca="false">CONVERT(G54,"m^2","ha")</f>
        <v>0.4888544</v>
      </c>
      <c r="K54" s="0" t="b">
        <f aca="false">IF(J54&gt;(I54*2),((ROUNDDOWN(J54/I54,0))-1))</f>
        <v>0</v>
      </c>
    </row>
    <row r="55" customFormat="false" ht="12.75" hidden="false" customHeight="false" outlineLevel="0" collapsed="false">
      <c r="A55" s="5" t="n">
        <v>779</v>
      </c>
      <c r="B55" s="6" t="s">
        <v>121</v>
      </c>
      <c r="C55" s="6" t="s">
        <v>89</v>
      </c>
      <c r="D55" s="6" t="s">
        <v>122</v>
      </c>
      <c r="E55" s="6" t="s">
        <v>14</v>
      </c>
      <c r="F55" s="7" t="n">
        <v>4961.11955886</v>
      </c>
      <c r="G55" s="7" t="n">
        <v>4961.12</v>
      </c>
      <c r="H55" s="6" t="s">
        <v>15</v>
      </c>
      <c r="I55" s="0" t="n">
        <v>4</v>
      </c>
      <c r="J55" s="1" t="n">
        <f aca="false">CONVERT(G55,"m^2","ha")</f>
        <v>0.496112</v>
      </c>
      <c r="K55" s="0" t="b">
        <f aca="false">IF(J55&gt;(I55*2),((ROUNDDOWN(J55/I55,0))-1))</f>
        <v>0</v>
      </c>
    </row>
    <row r="56" customFormat="false" ht="12.75" hidden="false" customHeight="false" outlineLevel="0" collapsed="false">
      <c r="A56" s="5" t="n">
        <v>784</v>
      </c>
      <c r="B56" s="6" t="s">
        <v>123</v>
      </c>
      <c r="C56" s="6" t="s">
        <v>89</v>
      </c>
      <c r="D56" s="6" t="s">
        <v>124</v>
      </c>
      <c r="E56" s="6" t="s">
        <v>14</v>
      </c>
      <c r="F56" s="7" t="n">
        <v>8435.209038245</v>
      </c>
      <c r="G56" s="7" t="n">
        <v>8435.274</v>
      </c>
      <c r="H56" s="6" t="s">
        <v>15</v>
      </c>
      <c r="I56" s="0" t="n">
        <v>4</v>
      </c>
      <c r="J56" s="1" t="n">
        <f aca="false">CONVERT(G56,"m^2","ha")</f>
        <v>0.8435274</v>
      </c>
      <c r="K56" s="0" t="b">
        <f aca="false">IF(J56&gt;(I56*2),((ROUNDDOWN(J56/I56,0))-1))</f>
        <v>0</v>
      </c>
    </row>
    <row r="57" customFormat="false" ht="12.75" hidden="false" customHeight="false" outlineLevel="0" collapsed="false">
      <c r="A57" s="5" t="n">
        <v>786</v>
      </c>
      <c r="B57" s="6" t="s">
        <v>125</v>
      </c>
      <c r="C57" s="6" t="s">
        <v>89</v>
      </c>
      <c r="D57" s="6" t="s">
        <v>126</v>
      </c>
      <c r="E57" s="6" t="s">
        <v>14</v>
      </c>
      <c r="F57" s="7" t="n">
        <v>5294.30268016</v>
      </c>
      <c r="G57" s="7" t="n">
        <v>5294.303</v>
      </c>
      <c r="H57" s="6" t="s">
        <v>15</v>
      </c>
      <c r="I57" s="0" t="n">
        <v>4</v>
      </c>
      <c r="J57" s="1" t="n">
        <f aca="false">CONVERT(G57,"m^2","ha")</f>
        <v>0.5294303</v>
      </c>
      <c r="K57" s="0" t="b">
        <f aca="false">IF(J57&gt;(I57*2),((ROUNDDOWN(J57/I57,0))-1))</f>
        <v>0</v>
      </c>
    </row>
    <row r="58" customFormat="false" ht="12.75" hidden="false" customHeight="false" outlineLevel="0" collapsed="false">
      <c r="A58" s="5" t="n">
        <v>789</v>
      </c>
      <c r="B58" s="6" t="s">
        <v>127</v>
      </c>
      <c r="C58" s="6" t="s">
        <v>89</v>
      </c>
      <c r="D58" s="6" t="s">
        <v>128</v>
      </c>
      <c r="E58" s="6" t="s">
        <v>14</v>
      </c>
      <c r="F58" s="7" t="n">
        <v>5360.8209659</v>
      </c>
      <c r="G58" s="7" t="n">
        <v>5360.821</v>
      </c>
      <c r="H58" s="6" t="s">
        <v>15</v>
      </c>
      <c r="I58" s="0" t="n">
        <v>4</v>
      </c>
      <c r="J58" s="1" t="n">
        <f aca="false">CONVERT(G58,"m^2","ha")</f>
        <v>0.5360821</v>
      </c>
      <c r="K58" s="0" t="b">
        <f aca="false">IF(J58&gt;(I58*2),((ROUNDDOWN(J58/I58,0))-1))</f>
        <v>0</v>
      </c>
    </row>
    <row r="59" customFormat="false" ht="12.75" hidden="false" customHeight="false" outlineLevel="0" collapsed="false">
      <c r="A59" s="5" t="n">
        <v>793</v>
      </c>
      <c r="B59" s="6" t="s">
        <v>129</v>
      </c>
      <c r="C59" s="6" t="s">
        <v>89</v>
      </c>
      <c r="D59" s="6" t="s">
        <v>130</v>
      </c>
      <c r="E59" s="6" t="s">
        <v>14</v>
      </c>
      <c r="F59" s="7" t="n">
        <v>5617.544406835</v>
      </c>
      <c r="G59" s="7" t="n">
        <v>5617.544</v>
      </c>
      <c r="H59" s="6" t="s">
        <v>15</v>
      </c>
      <c r="I59" s="0" t="n">
        <v>4</v>
      </c>
      <c r="J59" s="1" t="n">
        <f aca="false">CONVERT(G59,"m^2","ha")</f>
        <v>0.5617544</v>
      </c>
      <c r="K59" s="0" t="b">
        <f aca="false">IF(J59&gt;(I59*2),((ROUNDDOWN(J59/I59,0))-1))</f>
        <v>0</v>
      </c>
    </row>
    <row r="60" customFormat="false" ht="12.75" hidden="false" customHeight="false" outlineLevel="0" collapsed="false">
      <c r="A60" s="5" t="n">
        <v>795</v>
      </c>
      <c r="B60" s="6" t="s">
        <v>131</v>
      </c>
      <c r="C60" s="6" t="s">
        <v>12</v>
      </c>
      <c r="D60" s="6" t="s">
        <v>132</v>
      </c>
      <c r="E60" s="6" t="s">
        <v>14</v>
      </c>
      <c r="F60" s="7" t="n">
        <v>21219.68477063</v>
      </c>
      <c r="G60" s="7" t="n">
        <v>21220.093</v>
      </c>
      <c r="H60" s="6" t="s">
        <v>15</v>
      </c>
      <c r="I60" s="0" t="n">
        <v>4</v>
      </c>
      <c r="J60" s="1" t="n">
        <f aca="false">CONVERT(G60,"m^2","ha")</f>
        <v>2.1220093</v>
      </c>
      <c r="K60" s="0" t="b">
        <f aca="false">IF(J60&gt;(I60*2),((ROUNDDOWN(J60/I60,0))-1))</f>
        <v>0</v>
      </c>
    </row>
    <row r="61" customFormat="false" ht="12.75" hidden="false" customHeight="false" outlineLevel="0" collapsed="false">
      <c r="A61" s="5" t="n">
        <v>796</v>
      </c>
      <c r="B61" s="6" t="s">
        <v>133</v>
      </c>
      <c r="C61" s="6" t="s">
        <v>89</v>
      </c>
      <c r="D61" s="6" t="s">
        <v>134</v>
      </c>
      <c r="E61" s="6" t="s">
        <v>14</v>
      </c>
      <c r="F61" s="7" t="n">
        <v>4832.684751905</v>
      </c>
      <c r="G61" s="7" t="n">
        <v>4832.1</v>
      </c>
      <c r="H61" s="6" t="s">
        <v>15</v>
      </c>
      <c r="I61" s="0" t="n">
        <v>4</v>
      </c>
      <c r="J61" s="1" t="n">
        <f aca="false">CONVERT(G61,"m^2","ha")</f>
        <v>0.48321</v>
      </c>
      <c r="K61" s="0" t="b">
        <f aca="false">IF(J61&gt;(I61*2),((ROUNDDOWN(J61/I61,0))-1))</f>
        <v>0</v>
      </c>
    </row>
    <row r="62" customFormat="false" ht="12.75" hidden="false" customHeight="false" outlineLevel="0" collapsed="false">
      <c r="A62" s="5" t="n">
        <v>800</v>
      </c>
      <c r="B62" s="6" t="s">
        <v>135</v>
      </c>
      <c r="C62" s="6" t="s">
        <v>12</v>
      </c>
      <c r="D62" s="6" t="s">
        <v>136</v>
      </c>
      <c r="E62" s="6" t="s">
        <v>14</v>
      </c>
      <c r="F62" s="7" t="n">
        <v>218423.585764025</v>
      </c>
      <c r="G62" s="7" t="n">
        <v>218430.222</v>
      </c>
      <c r="H62" s="6" t="s">
        <v>15</v>
      </c>
      <c r="I62" s="0" t="n">
        <v>4</v>
      </c>
      <c r="J62" s="1" t="n">
        <f aca="false">CONVERT(G62,"m^2","ha")</f>
        <v>21.8430222</v>
      </c>
      <c r="K62" s="0" t="n">
        <f aca="false">IF(J62&gt;(I62*2),((ROUNDDOWN(J62/I62,0))-1))</f>
        <v>4</v>
      </c>
    </row>
    <row r="63" customFormat="false" ht="12.75" hidden="false" customHeight="false" outlineLevel="0" collapsed="false">
      <c r="A63" s="5" t="n">
        <v>802</v>
      </c>
      <c r="B63" s="6" t="s">
        <v>137</v>
      </c>
      <c r="C63" s="6" t="s">
        <v>89</v>
      </c>
      <c r="D63" s="6" t="s">
        <v>138</v>
      </c>
      <c r="E63" s="6" t="s">
        <v>14</v>
      </c>
      <c r="F63" s="7" t="n">
        <v>10720.37139055</v>
      </c>
      <c r="G63" s="7" t="n">
        <v>10718.918</v>
      </c>
      <c r="H63" s="6" t="s">
        <v>15</v>
      </c>
      <c r="I63" s="0" t="n">
        <v>4</v>
      </c>
      <c r="J63" s="1" t="n">
        <f aca="false">CONVERT(G63,"m^2","ha")</f>
        <v>1.0718918</v>
      </c>
      <c r="K63" s="0" t="b">
        <f aca="false">IF(J63&gt;(I63*2),((ROUNDDOWN(J63/I63,0))-1))</f>
        <v>0</v>
      </c>
    </row>
    <row r="64" customFormat="false" ht="12.75" hidden="false" customHeight="false" outlineLevel="0" collapsed="false">
      <c r="A64" s="5" t="n">
        <v>810</v>
      </c>
      <c r="B64" s="6" t="s">
        <v>139</v>
      </c>
      <c r="C64" s="6" t="s">
        <v>12</v>
      </c>
      <c r="D64" s="6" t="s">
        <v>140</v>
      </c>
      <c r="E64" s="6" t="s">
        <v>14</v>
      </c>
      <c r="F64" s="7" t="n">
        <v>3295.47781266</v>
      </c>
      <c r="G64" s="7" t="n">
        <v>3295.324</v>
      </c>
      <c r="H64" s="6" t="s">
        <v>15</v>
      </c>
      <c r="I64" s="0" t="n">
        <v>4</v>
      </c>
      <c r="J64" s="1" t="n">
        <f aca="false">CONVERT(G64,"m^2","ha")</f>
        <v>0.3295324</v>
      </c>
      <c r="K64" s="0" t="b">
        <f aca="false">IF(J64&gt;(I64*2),((ROUNDDOWN(J64/I64,0))-1))</f>
        <v>0</v>
      </c>
    </row>
    <row r="65" customFormat="false" ht="12.75" hidden="false" customHeight="false" outlineLevel="0" collapsed="false">
      <c r="A65" s="5" t="n">
        <v>811</v>
      </c>
      <c r="B65" s="6" t="s">
        <v>141</v>
      </c>
      <c r="C65" s="6" t="s">
        <v>12</v>
      </c>
      <c r="D65" s="6" t="s">
        <v>142</v>
      </c>
      <c r="E65" s="6" t="s">
        <v>14</v>
      </c>
      <c r="F65" s="7" t="n">
        <v>2903.72268024</v>
      </c>
      <c r="G65" s="7" t="n">
        <v>2903.613</v>
      </c>
      <c r="H65" s="6" t="s">
        <v>15</v>
      </c>
      <c r="I65" s="0" t="n">
        <v>4</v>
      </c>
      <c r="J65" s="1" t="n">
        <f aca="false">CONVERT(G65,"m^2","ha")</f>
        <v>0.2903613</v>
      </c>
      <c r="K65" s="0" t="b">
        <f aca="false">IF(J65&gt;(I65*2),((ROUNDDOWN(J65/I65,0))-1))</f>
        <v>0</v>
      </c>
    </row>
    <row r="66" customFormat="false" ht="12.75" hidden="false" customHeight="false" outlineLevel="0" collapsed="false">
      <c r="A66" s="5" t="n">
        <v>849</v>
      </c>
      <c r="B66" s="6" t="s">
        <v>143</v>
      </c>
      <c r="C66" s="6" t="s">
        <v>12</v>
      </c>
      <c r="D66" s="6" t="s">
        <v>144</v>
      </c>
      <c r="E66" s="6" t="s">
        <v>14</v>
      </c>
      <c r="F66" s="7" t="n">
        <v>2795.33429096</v>
      </c>
      <c r="G66" s="7" t="n">
        <v>2795.334</v>
      </c>
      <c r="H66" s="6" t="s">
        <v>15</v>
      </c>
      <c r="I66" s="0" t="n">
        <v>4</v>
      </c>
      <c r="J66" s="1" t="n">
        <f aca="false">CONVERT(G66,"m^2","ha")</f>
        <v>0.2795334</v>
      </c>
      <c r="K66" s="0" t="b">
        <f aca="false">IF(J66&gt;(I66*2),((ROUNDDOWN(J66/I66,0))-1))</f>
        <v>0</v>
      </c>
    </row>
    <row r="67" customFormat="false" ht="12.75" hidden="false" customHeight="false" outlineLevel="0" collapsed="false">
      <c r="A67" s="5" t="n">
        <v>850</v>
      </c>
      <c r="B67" s="6" t="s">
        <v>145</v>
      </c>
      <c r="C67" s="6" t="s">
        <v>12</v>
      </c>
      <c r="D67" s="6" t="s">
        <v>146</v>
      </c>
      <c r="E67" s="6" t="s">
        <v>14</v>
      </c>
      <c r="F67" s="7" t="n">
        <v>25820.53488653</v>
      </c>
      <c r="G67" s="7" t="n">
        <v>25820.535</v>
      </c>
      <c r="H67" s="6" t="s">
        <v>15</v>
      </c>
      <c r="I67" s="0" t="n">
        <v>4</v>
      </c>
      <c r="J67" s="1" t="n">
        <f aca="false">CONVERT(G67,"m^2","ha")</f>
        <v>2.5820535</v>
      </c>
      <c r="K67" s="0" t="b">
        <f aca="false">IF(J67&gt;(I67*2),((ROUNDDOWN(J67/I67,0))-1))</f>
        <v>0</v>
      </c>
    </row>
    <row r="68" customFormat="false" ht="12.75" hidden="false" customHeight="false" outlineLevel="0" collapsed="false">
      <c r="A68" s="5" t="n">
        <v>852</v>
      </c>
      <c r="B68" s="6" t="s">
        <v>147</v>
      </c>
      <c r="C68" s="6" t="s">
        <v>12</v>
      </c>
      <c r="D68" s="6" t="s">
        <v>148</v>
      </c>
      <c r="E68" s="6" t="s">
        <v>14</v>
      </c>
      <c r="F68" s="7" t="n">
        <v>4179.456062445</v>
      </c>
      <c r="G68" s="7" t="n">
        <v>4179.456</v>
      </c>
      <c r="H68" s="6" t="s">
        <v>15</v>
      </c>
      <c r="I68" s="0" t="n">
        <v>4</v>
      </c>
      <c r="J68" s="1" t="n">
        <f aca="false">CONVERT(G68,"m^2","ha")</f>
        <v>0.4179456</v>
      </c>
      <c r="K68" s="0" t="b">
        <f aca="false">IF(J68&gt;(I68*2),((ROUNDDOWN(J68/I68,0))-1))</f>
        <v>0</v>
      </c>
    </row>
    <row r="69" customFormat="false" ht="12.75" hidden="false" customHeight="false" outlineLevel="0" collapsed="false">
      <c r="A69" s="5" t="n">
        <v>855</v>
      </c>
      <c r="B69" s="6" t="s">
        <v>149</v>
      </c>
      <c r="C69" s="6" t="s">
        <v>12</v>
      </c>
      <c r="D69" s="6" t="s">
        <v>150</v>
      </c>
      <c r="E69" s="6" t="s">
        <v>14</v>
      </c>
      <c r="F69" s="7" t="n">
        <v>3470.208303735</v>
      </c>
      <c r="G69" s="7" t="n">
        <v>3470.208</v>
      </c>
      <c r="H69" s="6" t="s">
        <v>15</v>
      </c>
      <c r="I69" s="0" t="n">
        <v>4</v>
      </c>
      <c r="J69" s="1" t="n">
        <f aca="false">CONVERT(G69,"m^2","ha")</f>
        <v>0.3470208</v>
      </c>
      <c r="K69" s="0" t="b">
        <f aca="false">IF(J69&gt;(I69*2),((ROUNDDOWN(J69/I69,0))-1))</f>
        <v>0</v>
      </c>
    </row>
    <row r="70" customFormat="false" ht="12.75" hidden="false" customHeight="false" outlineLevel="0" collapsed="false">
      <c r="A70" s="5" t="n">
        <v>882</v>
      </c>
      <c r="B70" s="6" t="s">
        <v>151</v>
      </c>
      <c r="C70" s="6" t="s">
        <v>12</v>
      </c>
      <c r="D70" s="6" t="s">
        <v>152</v>
      </c>
      <c r="E70" s="6" t="s">
        <v>14</v>
      </c>
      <c r="F70" s="7" t="n">
        <v>7525.62445287</v>
      </c>
      <c r="G70" s="7" t="n">
        <v>7525.443</v>
      </c>
      <c r="H70" s="6" t="s">
        <v>15</v>
      </c>
      <c r="I70" s="0" t="n">
        <v>4</v>
      </c>
      <c r="J70" s="1" t="n">
        <f aca="false">CONVERT(G70,"m^2","ha")</f>
        <v>0.7525443</v>
      </c>
      <c r="K70" s="0" t="b">
        <f aca="false">IF(J70&gt;(I70*2),((ROUNDDOWN(J70/I70,0))-1))</f>
        <v>0</v>
      </c>
    </row>
    <row r="71" customFormat="false" ht="12.75" hidden="false" customHeight="false" outlineLevel="0" collapsed="false">
      <c r="A71" s="5" t="n">
        <v>925</v>
      </c>
      <c r="B71" s="6" t="s">
        <v>153</v>
      </c>
      <c r="C71" s="6" t="s">
        <v>12</v>
      </c>
      <c r="D71" s="6" t="s">
        <v>154</v>
      </c>
      <c r="E71" s="6" t="s">
        <v>14</v>
      </c>
      <c r="F71" s="7" t="n">
        <v>334848.88518827</v>
      </c>
      <c r="G71" s="7" t="n">
        <v>334848.885</v>
      </c>
      <c r="H71" s="6" t="s">
        <v>15</v>
      </c>
      <c r="I71" s="0" t="n">
        <v>4</v>
      </c>
      <c r="J71" s="1" t="n">
        <f aca="false">CONVERT(G71,"m^2","ha")</f>
        <v>33.4848885</v>
      </c>
      <c r="K71" s="0" t="n">
        <f aca="false">IF(J71&gt;(I71*2),((ROUNDDOWN(J71/I71,0))-1))</f>
        <v>7</v>
      </c>
    </row>
    <row r="72" customFormat="false" ht="12.75" hidden="false" customHeight="false" outlineLevel="0" collapsed="false">
      <c r="A72" s="5" t="n">
        <v>938</v>
      </c>
      <c r="B72" s="6" t="s">
        <v>155</v>
      </c>
      <c r="C72" s="6" t="s">
        <v>89</v>
      </c>
      <c r="D72" s="6" t="s">
        <v>156</v>
      </c>
      <c r="E72" s="6" t="s">
        <v>14</v>
      </c>
      <c r="F72" s="7" t="n">
        <v>466997.497183725</v>
      </c>
      <c r="G72" s="7" t="n">
        <v>466997.497</v>
      </c>
      <c r="H72" s="6" t="s">
        <v>15</v>
      </c>
      <c r="I72" s="0" t="n">
        <v>4</v>
      </c>
      <c r="J72" s="1" t="n">
        <f aca="false">CONVERT(G72,"m^2","ha")</f>
        <v>46.6997497</v>
      </c>
      <c r="K72" s="0" t="n">
        <f aca="false">IF(J72&gt;(I72*2),((ROUNDDOWN(J72/I72,0))-1))</f>
        <v>10</v>
      </c>
    </row>
    <row r="73" customFormat="false" ht="12.75" hidden="false" customHeight="false" outlineLevel="0" collapsed="false">
      <c r="A73" s="5" t="n">
        <v>956</v>
      </c>
      <c r="B73" s="6" t="s">
        <v>157</v>
      </c>
      <c r="C73" s="6" t="s">
        <v>12</v>
      </c>
      <c r="D73" s="6" t="s">
        <v>158</v>
      </c>
      <c r="E73" s="6" t="s">
        <v>14</v>
      </c>
      <c r="F73" s="7" t="n">
        <v>81209.646764115</v>
      </c>
      <c r="G73" s="7" t="n">
        <v>81209.48</v>
      </c>
      <c r="H73" s="6" t="s">
        <v>15</v>
      </c>
      <c r="I73" s="0" t="n">
        <v>4</v>
      </c>
      <c r="J73" s="1" t="n">
        <f aca="false">CONVERT(G73,"m^2","ha")</f>
        <v>8.120948</v>
      </c>
      <c r="K73" s="0" t="n">
        <f aca="false">IF(J73&gt;(I73*2),((ROUNDDOWN(J73/I73,0))-1))</f>
        <v>1</v>
      </c>
    </row>
    <row r="74" customFormat="false" ht="12.75" hidden="false" customHeight="false" outlineLevel="0" collapsed="false">
      <c r="A74" s="5" t="n">
        <v>979</v>
      </c>
      <c r="B74" s="6" t="s">
        <v>159</v>
      </c>
      <c r="C74" s="6" t="s">
        <v>12</v>
      </c>
      <c r="D74" s="6" t="s">
        <v>160</v>
      </c>
      <c r="E74" s="6" t="s">
        <v>14</v>
      </c>
      <c r="F74" s="7" t="n">
        <v>40312.56537575</v>
      </c>
      <c r="G74" s="7" t="n">
        <v>40313.157</v>
      </c>
      <c r="H74" s="6" t="s">
        <v>15</v>
      </c>
      <c r="I74" s="0" t="n">
        <v>4</v>
      </c>
      <c r="J74" s="1" t="n">
        <f aca="false">CONVERT(G74,"m^2","ha")</f>
        <v>4.0313157</v>
      </c>
      <c r="K74" s="0" t="b">
        <f aca="false">IF(J74&gt;(I74*2),((ROUNDDOWN(J74/I74,0))-1))</f>
        <v>0</v>
      </c>
    </row>
    <row r="75" customFormat="false" ht="12.75" hidden="false" customHeight="false" outlineLevel="0" collapsed="false">
      <c r="A75" s="5" t="n">
        <v>981</v>
      </c>
      <c r="B75" s="6" t="s">
        <v>161</v>
      </c>
      <c r="C75" s="6" t="s">
        <v>12</v>
      </c>
      <c r="D75" s="6" t="s">
        <v>162</v>
      </c>
      <c r="E75" s="6" t="s">
        <v>14</v>
      </c>
      <c r="F75" s="7" t="n">
        <v>35432.55072923</v>
      </c>
      <c r="G75" s="7" t="n">
        <v>35432.551</v>
      </c>
      <c r="H75" s="6" t="s">
        <v>15</v>
      </c>
      <c r="I75" s="0" t="n">
        <v>4</v>
      </c>
      <c r="J75" s="1" t="n">
        <f aca="false">CONVERT(G75,"m^2","ha")</f>
        <v>3.5432551</v>
      </c>
      <c r="K75" s="0" t="b">
        <f aca="false">IF(J75&gt;(I75*2),((ROUNDDOWN(J75/I75,0))-1))</f>
        <v>0</v>
      </c>
    </row>
    <row r="76" customFormat="false" ht="12.75" hidden="false" customHeight="false" outlineLevel="0" collapsed="false">
      <c r="A76" s="5" t="n">
        <v>983</v>
      </c>
      <c r="B76" s="6" t="s">
        <v>163</v>
      </c>
      <c r="C76" s="6" t="s">
        <v>12</v>
      </c>
      <c r="D76" s="6" t="s">
        <v>164</v>
      </c>
      <c r="E76" s="6" t="s">
        <v>14</v>
      </c>
      <c r="F76" s="7" t="n">
        <v>40007.51356029</v>
      </c>
      <c r="G76" s="7" t="n">
        <v>40007.006</v>
      </c>
      <c r="H76" s="6" t="s">
        <v>15</v>
      </c>
      <c r="I76" s="0" t="n">
        <v>4</v>
      </c>
      <c r="J76" s="1" t="n">
        <f aca="false">CONVERT(G76,"m^2","ha")</f>
        <v>4.0007006</v>
      </c>
      <c r="K76" s="0" t="b">
        <f aca="false">IF(J76&gt;(I76*2),((ROUNDDOWN(J76/I76,0))-1))</f>
        <v>0</v>
      </c>
    </row>
    <row r="77" customFormat="false" ht="12.75" hidden="false" customHeight="false" outlineLevel="0" collapsed="false">
      <c r="A77" s="5" t="n">
        <v>985</v>
      </c>
      <c r="B77" s="6" t="s">
        <v>165</v>
      </c>
      <c r="C77" s="6" t="s">
        <v>12</v>
      </c>
      <c r="D77" s="6" t="s">
        <v>166</v>
      </c>
      <c r="E77" s="6" t="s">
        <v>14</v>
      </c>
      <c r="F77" s="7" t="n">
        <v>40038.583100125</v>
      </c>
      <c r="G77" s="7" t="n">
        <v>40038.368</v>
      </c>
      <c r="H77" s="6" t="s">
        <v>15</v>
      </c>
      <c r="I77" s="0" t="n">
        <v>4</v>
      </c>
      <c r="J77" s="1" t="n">
        <f aca="false">CONVERT(G77,"m^2","ha")</f>
        <v>4.0038368</v>
      </c>
      <c r="K77" s="0" t="b">
        <f aca="false">IF(J77&gt;(I77*2),((ROUNDDOWN(J77/I77,0))-1))</f>
        <v>0</v>
      </c>
    </row>
    <row r="78" customFormat="false" ht="12.75" hidden="false" customHeight="false" outlineLevel="0" collapsed="false">
      <c r="A78" s="5" t="n">
        <v>987</v>
      </c>
      <c r="B78" s="6" t="s">
        <v>167</v>
      </c>
      <c r="C78" s="6" t="s">
        <v>12</v>
      </c>
      <c r="D78" s="6" t="s">
        <v>168</v>
      </c>
      <c r="E78" s="6" t="s">
        <v>14</v>
      </c>
      <c r="F78" s="7" t="n">
        <v>40052.50099379</v>
      </c>
      <c r="G78" s="7" t="n">
        <v>40049.614</v>
      </c>
      <c r="H78" s="6" t="s">
        <v>15</v>
      </c>
      <c r="I78" s="0" t="n">
        <v>4</v>
      </c>
      <c r="J78" s="1" t="n">
        <f aca="false">CONVERT(G78,"m^2","ha")</f>
        <v>4.0049614</v>
      </c>
      <c r="K78" s="0" t="b">
        <f aca="false">IF(J78&gt;(I78*2),((ROUNDDOWN(J78/I78,0))-1))</f>
        <v>0</v>
      </c>
    </row>
    <row r="79" customFormat="false" ht="12.75" hidden="false" customHeight="false" outlineLevel="0" collapsed="false">
      <c r="A79" s="5" t="n">
        <v>990</v>
      </c>
      <c r="B79" s="6" t="s">
        <v>169</v>
      </c>
      <c r="C79" s="6" t="s">
        <v>12</v>
      </c>
      <c r="D79" s="6" t="s">
        <v>170</v>
      </c>
      <c r="E79" s="6" t="s">
        <v>14</v>
      </c>
      <c r="F79" s="7" t="n">
        <v>40056.982025875</v>
      </c>
      <c r="G79" s="7" t="n">
        <v>40056.324</v>
      </c>
      <c r="H79" s="6" t="s">
        <v>15</v>
      </c>
      <c r="I79" s="0" t="n">
        <v>4</v>
      </c>
      <c r="J79" s="1" t="n">
        <f aca="false">CONVERT(G79,"m^2","ha")</f>
        <v>4.0056324</v>
      </c>
      <c r="K79" s="0" t="b">
        <f aca="false">IF(J79&gt;(I79*2),((ROUNDDOWN(J79/I79,0))-1))</f>
        <v>0</v>
      </c>
    </row>
    <row r="80" customFormat="false" ht="12.75" hidden="false" customHeight="false" outlineLevel="0" collapsed="false">
      <c r="A80" s="5" t="n">
        <v>1075</v>
      </c>
      <c r="B80" s="6" t="s">
        <v>171</v>
      </c>
      <c r="C80" s="6" t="s">
        <v>12</v>
      </c>
      <c r="D80" s="6" t="s">
        <v>172</v>
      </c>
      <c r="E80" s="6" t="s">
        <v>14</v>
      </c>
      <c r="F80" s="7" t="n">
        <v>2982.52488253</v>
      </c>
      <c r="G80" s="7" t="n">
        <v>2982.718</v>
      </c>
      <c r="H80" s="6" t="s">
        <v>15</v>
      </c>
      <c r="I80" s="0" t="n">
        <v>4</v>
      </c>
      <c r="J80" s="1" t="n">
        <f aca="false">CONVERT(G80,"m^2","ha")</f>
        <v>0.2982718</v>
      </c>
      <c r="K80" s="0" t="b">
        <f aca="false">IF(J80&gt;(I80*2),((ROUNDDOWN(J80/I80,0))-1))</f>
        <v>0</v>
      </c>
    </row>
    <row r="81" customFormat="false" ht="12.75" hidden="false" customHeight="false" outlineLevel="0" collapsed="false">
      <c r="A81" s="5" t="n">
        <v>1094</v>
      </c>
      <c r="B81" s="6" t="s">
        <v>173</v>
      </c>
      <c r="C81" s="6" t="s">
        <v>12</v>
      </c>
      <c r="D81" s="6" t="s">
        <v>174</v>
      </c>
      <c r="E81" s="6" t="s">
        <v>14</v>
      </c>
      <c r="F81" s="7" t="n">
        <v>39985.59256527</v>
      </c>
      <c r="G81" s="7" t="n">
        <v>39985.355</v>
      </c>
      <c r="H81" s="6" t="s">
        <v>15</v>
      </c>
      <c r="I81" s="0" t="n">
        <v>4</v>
      </c>
      <c r="J81" s="1" t="n">
        <f aca="false">CONVERT(G81,"m^2","ha")</f>
        <v>3.9985355</v>
      </c>
      <c r="K81" s="0" t="b">
        <f aca="false">IF(J81&gt;(I81*2),((ROUNDDOWN(J81/I81,0))-1))</f>
        <v>0</v>
      </c>
    </row>
    <row r="82" customFormat="false" ht="12.75" hidden="false" customHeight="false" outlineLevel="0" collapsed="false">
      <c r="A82" s="5" t="n">
        <v>1098</v>
      </c>
      <c r="B82" s="6" t="s">
        <v>175</v>
      </c>
      <c r="C82" s="6" t="s">
        <v>89</v>
      </c>
      <c r="D82" s="6" t="s">
        <v>176</v>
      </c>
      <c r="E82" s="6" t="s">
        <v>14</v>
      </c>
      <c r="F82" s="7" t="n">
        <v>1370.99454976</v>
      </c>
      <c r="G82" s="7" t="n">
        <v>1371.268</v>
      </c>
      <c r="H82" s="6" t="s">
        <v>15</v>
      </c>
      <c r="I82" s="0" t="n">
        <v>4</v>
      </c>
      <c r="J82" s="1" t="n">
        <f aca="false">CONVERT(G82,"m^2","ha")</f>
        <v>0.1371268</v>
      </c>
      <c r="K82" s="0" t="b">
        <f aca="false">IF(J82&gt;(I82*2),((ROUNDDOWN(J82/I82,0))-1))</f>
        <v>0</v>
      </c>
    </row>
    <row r="83" customFormat="false" ht="12.75" hidden="false" customHeight="false" outlineLevel="0" collapsed="false">
      <c r="A83" s="5" t="n">
        <v>1102</v>
      </c>
      <c r="B83" s="6" t="s">
        <v>177</v>
      </c>
      <c r="C83" s="6" t="s">
        <v>12</v>
      </c>
      <c r="D83" s="6" t="s">
        <v>178</v>
      </c>
      <c r="E83" s="6" t="s">
        <v>14</v>
      </c>
      <c r="F83" s="7" t="n">
        <v>11846.838222295</v>
      </c>
      <c r="G83" s="7" t="n">
        <v>11846.295</v>
      </c>
      <c r="H83" s="6" t="s">
        <v>15</v>
      </c>
      <c r="I83" s="0" t="n">
        <v>4</v>
      </c>
      <c r="J83" s="1" t="n">
        <f aca="false">CONVERT(G83,"m^2","ha")</f>
        <v>1.1846295</v>
      </c>
      <c r="K83" s="0" t="b">
        <f aca="false">IF(J83&gt;(I83*2),((ROUNDDOWN(J83/I83,0))-1))</f>
        <v>0</v>
      </c>
    </row>
    <row r="84" customFormat="false" ht="12.75" hidden="false" customHeight="false" outlineLevel="0" collapsed="false">
      <c r="A84" s="5" t="n">
        <v>1110</v>
      </c>
      <c r="B84" s="6" t="s">
        <v>179</v>
      </c>
      <c r="C84" s="6" t="s">
        <v>89</v>
      </c>
      <c r="D84" s="6" t="s">
        <v>180</v>
      </c>
      <c r="E84" s="6" t="s">
        <v>14</v>
      </c>
      <c r="F84" s="7" t="n">
        <v>2609.98013626</v>
      </c>
      <c r="G84" s="7" t="n">
        <v>2609.98</v>
      </c>
      <c r="H84" s="6" t="s">
        <v>15</v>
      </c>
      <c r="I84" s="0" t="n">
        <v>4</v>
      </c>
      <c r="J84" s="1" t="n">
        <f aca="false">CONVERT(G84,"m^2","ha")</f>
        <v>0.260998</v>
      </c>
      <c r="K84" s="0" t="b">
        <f aca="false">IF(J84&gt;(I84*2),((ROUNDDOWN(J84/I84,0))-1))</f>
        <v>0</v>
      </c>
    </row>
    <row r="85" customFormat="false" ht="12.75" hidden="false" customHeight="false" outlineLevel="0" collapsed="false">
      <c r="A85" s="5" t="n">
        <v>1143</v>
      </c>
      <c r="B85" s="6" t="s">
        <v>181</v>
      </c>
      <c r="C85" s="6" t="s">
        <v>12</v>
      </c>
      <c r="D85" s="6" t="s">
        <v>182</v>
      </c>
      <c r="E85" s="6" t="s">
        <v>14</v>
      </c>
      <c r="F85" s="7" t="n">
        <v>413857.38338564</v>
      </c>
      <c r="G85" s="7" t="n">
        <v>413858.94</v>
      </c>
      <c r="H85" s="6" t="s">
        <v>15</v>
      </c>
      <c r="I85" s="0" t="n">
        <v>4</v>
      </c>
      <c r="J85" s="1" t="n">
        <f aca="false">CONVERT(G85,"m^2","ha")</f>
        <v>41.385894</v>
      </c>
      <c r="K85" s="0" t="n">
        <f aca="false">IF(J85&gt;(I85*2),((ROUNDDOWN(J85/I85,0))-1))</f>
        <v>9</v>
      </c>
    </row>
    <row r="86" customFormat="false" ht="12.75" hidden="false" customHeight="false" outlineLevel="0" collapsed="false">
      <c r="A86" s="5" t="n">
        <v>1144</v>
      </c>
      <c r="B86" s="6" t="s">
        <v>183</v>
      </c>
      <c r="C86" s="6" t="s">
        <v>12</v>
      </c>
      <c r="D86" s="6" t="s">
        <v>184</v>
      </c>
      <c r="E86" s="6" t="s">
        <v>14</v>
      </c>
      <c r="F86" s="7" t="n">
        <v>53638.440213955</v>
      </c>
      <c r="G86" s="7" t="n">
        <v>53638.44</v>
      </c>
      <c r="H86" s="6" t="s">
        <v>15</v>
      </c>
      <c r="I86" s="0" t="n">
        <v>4</v>
      </c>
      <c r="J86" s="1" t="n">
        <f aca="false">CONVERT(G86,"m^2","ha")</f>
        <v>5.363844</v>
      </c>
      <c r="K86" s="0" t="b">
        <f aca="false">IF(J86&gt;(I86*2),((ROUNDDOWN(J86/I86,0))-1))</f>
        <v>0</v>
      </c>
    </row>
    <row r="87" customFormat="false" ht="12.75" hidden="false" customHeight="false" outlineLevel="0" collapsed="false">
      <c r="A87" s="5" t="n">
        <v>1146</v>
      </c>
      <c r="B87" s="6" t="s">
        <v>185</v>
      </c>
      <c r="C87" s="6" t="s">
        <v>12</v>
      </c>
      <c r="D87" s="6" t="s">
        <v>186</v>
      </c>
      <c r="E87" s="6" t="s">
        <v>14</v>
      </c>
      <c r="F87" s="7" t="n">
        <v>28431.47201574</v>
      </c>
      <c r="G87" s="7" t="n">
        <v>28431.688</v>
      </c>
      <c r="H87" s="6" t="s">
        <v>15</v>
      </c>
      <c r="I87" s="0" t="n">
        <v>4</v>
      </c>
      <c r="J87" s="1" t="n">
        <f aca="false">CONVERT(G87,"m^2","ha")</f>
        <v>2.8431688</v>
      </c>
      <c r="K87" s="0" t="b">
        <f aca="false">IF(J87&gt;(I87*2),((ROUNDDOWN(J87/I87,0))-1))</f>
        <v>0</v>
      </c>
    </row>
    <row r="88" customFormat="false" ht="12.75" hidden="false" customHeight="false" outlineLevel="0" collapsed="false">
      <c r="A88" s="5" t="n">
        <v>1147</v>
      </c>
      <c r="B88" s="6" t="s">
        <v>187</v>
      </c>
      <c r="C88" s="6" t="s">
        <v>12</v>
      </c>
      <c r="D88" s="6" t="s">
        <v>188</v>
      </c>
      <c r="E88" s="6" t="s">
        <v>14</v>
      </c>
      <c r="F88" s="7" t="n">
        <v>12073.0581095</v>
      </c>
      <c r="G88" s="7" t="n">
        <v>12073.186</v>
      </c>
      <c r="H88" s="6" t="s">
        <v>15</v>
      </c>
      <c r="I88" s="0" t="n">
        <v>4</v>
      </c>
      <c r="J88" s="1" t="n">
        <f aca="false">CONVERT(G88,"m^2","ha")</f>
        <v>1.2073186</v>
      </c>
      <c r="K88" s="0" t="b">
        <f aca="false">IF(J88&gt;(I88*2),((ROUNDDOWN(J88/I88,0))-1))</f>
        <v>0</v>
      </c>
    </row>
    <row r="89" customFormat="false" ht="12.75" hidden="false" customHeight="false" outlineLevel="0" collapsed="false">
      <c r="A89" s="5" t="n">
        <v>1149</v>
      </c>
      <c r="B89" s="6" t="s">
        <v>189</v>
      </c>
      <c r="C89" s="6" t="s">
        <v>12</v>
      </c>
      <c r="D89" s="6" t="s">
        <v>190</v>
      </c>
      <c r="E89" s="6" t="s">
        <v>14</v>
      </c>
      <c r="F89" s="7" t="n">
        <v>40824.082691905</v>
      </c>
      <c r="G89" s="7" t="n">
        <v>40824.151</v>
      </c>
      <c r="H89" s="6" t="s">
        <v>15</v>
      </c>
      <c r="I89" s="0" t="n">
        <v>4</v>
      </c>
      <c r="J89" s="1" t="n">
        <f aca="false">CONVERT(G89,"m^2","ha")</f>
        <v>4.0824151</v>
      </c>
      <c r="K89" s="0" t="b">
        <f aca="false">IF(J89&gt;(I89*2),((ROUNDDOWN(J89/I89,0))-1))</f>
        <v>0</v>
      </c>
    </row>
    <row r="90" customFormat="false" ht="12.75" hidden="false" customHeight="false" outlineLevel="0" collapsed="false">
      <c r="A90" s="5" t="n">
        <v>1239</v>
      </c>
      <c r="B90" s="6" t="s">
        <v>191</v>
      </c>
      <c r="C90" s="6" t="s">
        <v>12</v>
      </c>
      <c r="D90" s="6" t="s">
        <v>192</v>
      </c>
      <c r="E90" s="6" t="s">
        <v>14</v>
      </c>
      <c r="F90" s="7" t="n">
        <v>61321.29703761</v>
      </c>
      <c r="G90" s="7" t="n">
        <v>61321.297</v>
      </c>
      <c r="H90" s="6" t="s">
        <v>15</v>
      </c>
      <c r="I90" s="0" t="n">
        <v>4</v>
      </c>
      <c r="J90" s="1" t="n">
        <f aca="false">CONVERT(G90,"m^2","ha")</f>
        <v>6.1321297</v>
      </c>
      <c r="K90" s="0" t="b">
        <f aca="false">IF(J90&gt;(I90*2),((ROUNDDOWN(J90/I90,0))-1))</f>
        <v>0</v>
      </c>
    </row>
    <row r="91" customFormat="false" ht="12.75" hidden="false" customHeight="false" outlineLevel="0" collapsed="false">
      <c r="A91" s="5" t="n">
        <v>1240</v>
      </c>
      <c r="B91" s="6" t="s">
        <v>193</v>
      </c>
      <c r="C91" s="6" t="s">
        <v>12</v>
      </c>
      <c r="D91" s="6" t="s">
        <v>194</v>
      </c>
      <c r="E91" s="6" t="s">
        <v>14</v>
      </c>
      <c r="F91" s="7" t="n">
        <v>12154.50366708</v>
      </c>
      <c r="G91" s="7" t="n">
        <v>12154.504</v>
      </c>
      <c r="H91" s="6" t="s">
        <v>15</v>
      </c>
      <c r="I91" s="0" t="n">
        <v>4</v>
      </c>
      <c r="J91" s="1" t="n">
        <f aca="false">CONVERT(G91,"m^2","ha")</f>
        <v>1.2154504</v>
      </c>
      <c r="K91" s="0" t="b">
        <f aca="false">IF(J91&gt;(I91*2),((ROUNDDOWN(J91/I91,0))-1))</f>
        <v>0</v>
      </c>
    </row>
    <row r="92" customFormat="false" ht="12.75" hidden="false" customHeight="false" outlineLevel="0" collapsed="false">
      <c r="A92" s="5" t="n">
        <v>1241</v>
      </c>
      <c r="B92" s="6" t="s">
        <v>195</v>
      </c>
      <c r="C92" s="6" t="s">
        <v>12</v>
      </c>
      <c r="D92" s="6" t="s">
        <v>196</v>
      </c>
      <c r="E92" s="6" t="s">
        <v>14</v>
      </c>
      <c r="F92" s="7" t="n">
        <v>3073.205808715</v>
      </c>
      <c r="G92" s="7" t="n">
        <v>3073.206</v>
      </c>
      <c r="H92" s="6" t="s">
        <v>15</v>
      </c>
      <c r="I92" s="0" t="n">
        <v>4</v>
      </c>
      <c r="J92" s="1" t="n">
        <f aca="false">CONVERT(G92,"m^2","ha")</f>
        <v>0.3073206</v>
      </c>
      <c r="K92" s="0" t="b">
        <f aca="false">IF(J92&gt;(I92*2),((ROUNDDOWN(J92/I92,0))-1))</f>
        <v>0</v>
      </c>
    </row>
    <row r="93" customFormat="false" ht="12.75" hidden="false" customHeight="false" outlineLevel="0" collapsed="false">
      <c r="A93" s="5" t="n">
        <v>1242</v>
      </c>
      <c r="B93" s="6" t="s">
        <v>197</v>
      </c>
      <c r="C93" s="6" t="s">
        <v>12</v>
      </c>
      <c r="D93" s="6" t="s">
        <v>198</v>
      </c>
      <c r="E93" s="6" t="s">
        <v>14</v>
      </c>
      <c r="F93" s="7" t="n">
        <v>3516.04621821</v>
      </c>
      <c r="G93" s="7" t="n">
        <v>3515.447</v>
      </c>
      <c r="H93" s="6" t="s">
        <v>15</v>
      </c>
      <c r="I93" s="0" t="n">
        <v>4</v>
      </c>
      <c r="J93" s="1" t="n">
        <f aca="false">CONVERT(G93,"m^2","ha")</f>
        <v>0.3515447</v>
      </c>
      <c r="K93" s="0" t="b">
        <f aca="false">IF(J93&gt;(I93*2),((ROUNDDOWN(J93/I93,0))-1))</f>
        <v>0</v>
      </c>
    </row>
    <row r="94" customFormat="false" ht="12.75" hidden="false" customHeight="false" outlineLevel="0" collapsed="false">
      <c r="A94" s="5" t="n">
        <v>1245</v>
      </c>
      <c r="B94" s="6" t="s">
        <v>199</v>
      </c>
      <c r="C94" s="6" t="s">
        <v>12</v>
      </c>
      <c r="D94" s="6" t="s">
        <v>200</v>
      </c>
      <c r="E94" s="6" t="s">
        <v>14</v>
      </c>
      <c r="F94" s="7" t="n">
        <v>3411.65267742</v>
      </c>
      <c r="G94" s="7" t="n">
        <v>3411.15</v>
      </c>
      <c r="H94" s="6" t="s">
        <v>15</v>
      </c>
      <c r="I94" s="0" t="n">
        <v>4</v>
      </c>
      <c r="J94" s="1" t="n">
        <f aca="false">CONVERT(G94,"m^2","ha")</f>
        <v>0.341115</v>
      </c>
      <c r="K94" s="0" t="b">
        <f aca="false">IF(J94&gt;(I94*2),((ROUNDDOWN(J94/I94,0))-1))</f>
        <v>0</v>
      </c>
    </row>
    <row r="95" customFormat="false" ht="12.75" hidden="false" customHeight="false" outlineLevel="0" collapsed="false">
      <c r="A95" s="5" t="n">
        <v>1246</v>
      </c>
      <c r="B95" s="6" t="s">
        <v>201</v>
      </c>
      <c r="C95" s="6" t="s">
        <v>12</v>
      </c>
      <c r="D95" s="6" t="s">
        <v>202</v>
      </c>
      <c r="E95" s="6" t="s">
        <v>14</v>
      </c>
      <c r="F95" s="7" t="n">
        <v>2677.85181319</v>
      </c>
      <c r="G95" s="7" t="n">
        <v>2677.112</v>
      </c>
      <c r="H95" s="6" t="s">
        <v>15</v>
      </c>
      <c r="I95" s="0" t="n">
        <v>4</v>
      </c>
      <c r="J95" s="1" t="n">
        <f aca="false">CONVERT(G95,"m^2","ha")</f>
        <v>0.2677112</v>
      </c>
      <c r="K95" s="0" t="b">
        <f aca="false">IF(J95&gt;(I95*2),((ROUNDDOWN(J95/I95,0))-1))</f>
        <v>0</v>
      </c>
    </row>
    <row r="96" customFormat="false" ht="12.75" hidden="false" customHeight="false" outlineLevel="0" collapsed="false">
      <c r="A96" s="5" t="n">
        <v>1247</v>
      </c>
      <c r="B96" s="6" t="s">
        <v>203</v>
      </c>
      <c r="C96" s="6" t="s">
        <v>12</v>
      </c>
      <c r="D96" s="6" t="s">
        <v>204</v>
      </c>
      <c r="E96" s="6" t="s">
        <v>14</v>
      </c>
      <c r="F96" s="7" t="n">
        <v>3000.92572088</v>
      </c>
      <c r="G96" s="7" t="n">
        <v>3001.55</v>
      </c>
      <c r="H96" s="6" t="s">
        <v>15</v>
      </c>
      <c r="I96" s="0" t="n">
        <v>4</v>
      </c>
      <c r="J96" s="1" t="n">
        <f aca="false">CONVERT(G96,"m^2","ha")</f>
        <v>0.300155</v>
      </c>
      <c r="K96" s="0" t="b">
        <f aca="false">IF(J96&gt;(I96*2),((ROUNDDOWN(J96/I96,0))-1))</f>
        <v>0</v>
      </c>
    </row>
    <row r="97" customFormat="false" ht="12.75" hidden="false" customHeight="false" outlineLevel="0" collapsed="false">
      <c r="A97" s="5" t="n">
        <v>1249</v>
      </c>
      <c r="B97" s="6" t="s">
        <v>205</v>
      </c>
      <c r="C97" s="6" t="s">
        <v>12</v>
      </c>
      <c r="D97" s="6" t="s">
        <v>206</v>
      </c>
      <c r="E97" s="6" t="s">
        <v>14</v>
      </c>
      <c r="F97" s="7" t="n">
        <v>3030.587263035</v>
      </c>
      <c r="G97" s="7" t="n">
        <v>3030.319</v>
      </c>
      <c r="H97" s="6" t="s">
        <v>15</v>
      </c>
      <c r="I97" s="0" t="n">
        <v>4</v>
      </c>
      <c r="J97" s="1" t="n">
        <f aca="false">CONVERT(G97,"m^2","ha")</f>
        <v>0.3030319</v>
      </c>
      <c r="K97" s="0" t="b">
        <f aca="false">IF(J97&gt;(I97*2),((ROUNDDOWN(J97/I97,0))-1))</f>
        <v>0</v>
      </c>
    </row>
    <row r="98" customFormat="false" ht="12.75" hidden="false" customHeight="false" outlineLevel="0" collapsed="false">
      <c r="A98" s="5" t="n">
        <v>1253</v>
      </c>
      <c r="B98" s="6" t="s">
        <v>207</v>
      </c>
      <c r="C98" s="6" t="s">
        <v>89</v>
      </c>
      <c r="D98" s="6" t="s">
        <v>208</v>
      </c>
      <c r="E98" s="6" t="s">
        <v>14</v>
      </c>
      <c r="F98" s="7" t="n">
        <v>3005.31239937</v>
      </c>
      <c r="G98" s="7" t="n">
        <v>3005.312</v>
      </c>
      <c r="H98" s="6" t="s">
        <v>15</v>
      </c>
      <c r="I98" s="0" t="n">
        <v>4</v>
      </c>
      <c r="J98" s="1" t="n">
        <f aca="false">CONVERT(G98,"m^2","ha")</f>
        <v>0.3005312</v>
      </c>
      <c r="K98" s="0" t="b">
        <f aca="false">IF(J98&gt;(I98*2),((ROUNDDOWN(J98/I98,0))-1))</f>
        <v>0</v>
      </c>
    </row>
    <row r="99" customFormat="false" ht="12.75" hidden="false" customHeight="false" outlineLevel="0" collapsed="false">
      <c r="A99" s="5" t="n">
        <v>1254</v>
      </c>
      <c r="B99" s="6" t="s">
        <v>209</v>
      </c>
      <c r="C99" s="6" t="s">
        <v>89</v>
      </c>
      <c r="D99" s="6" t="s">
        <v>210</v>
      </c>
      <c r="E99" s="6" t="s">
        <v>14</v>
      </c>
      <c r="F99" s="7" t="n">
        <v>4314.63223848</v>
      </c>
      <c r="G99" s="7" t="n">
        <v>4314.632</v>
      </c>
      <c r="H99" s="6" t="s">
        <v>15</v>
      </c>
      <c r="I99" s="0" t="n">
        <v>4</v>
      </c>
      <c r="J99" s="1" t="n">
        <f aca="false">CONVERT(G99,"m^2","ha")</f>
        <v>0.4314632</v>
      </c>
      <c r="K99" s="0" t="b">
        <f aca="false">IF(J99&gt;(I99*2),((ROUNDDOWN(J99/I99,0))-1))</f>
        <v>0</v>
      </c>
    </row>
    <row r="100" customFormat="false" ht="12.75" hidden="false" customHeight="false" outlineLevel="0" collapsed="false">
      <c r="A100" s="5" t="n">
        <v>1255</v>
      </c>
      <c r="B100" s="6" t="s">
        <v>211</v>
      </c>
      <c r="C100" s="6" t="s">
        <v>89</v>
      </c>
      <c r="D100" s="6" t="s">
        <v>212</v>
      </c>
      <c r="E100" s="6" t="s">
        <v>14</v>
      </c>
      <c r="F100" s="7" t="n">
        <v>3981.26755979</v>
      </c>
      <c r="G100" s="7" t="n">
        <v>3981.268</v>
      </c>
      <c r="H100" s="6" t="s">
        <v>15</v>
      </c>
      <c r="I100" s="0" t="n">
        <v>4</v>
      </c>
      <c r="J100" s="1" t="n">
        <f aca="false">CONVERT(G100,"m^2","ha")</f>
        <v>0.3981268</v>
      </c>
      <c r="K100" s="0" t="b">
        <f aca="false">IF(J100&gt;(I100*2),((ROUNDDOWN(J100/I100,0))-1))</f>
        <v>0</v>
      </c>
    </row>
    <row r="101" customFormat="false" ht="12.75" hidden="false" customHeight="false" outlineLevel="0" collapsed="false">
      <c r="A101" s="5" t="n">
        <v>1256</v>
      </c>
      <c r="B101" s="6" t="s">
        <v>213</v>
      </c>
      <c r="C101" s="6" t="s">
        <v>89</v>
      </c>
      <c r="D101" s="6" t="s">
        <v>214</v>
      </c>
      <c r="E101" s="6" t="s">
        <v>14</v>
      </c>
      <c r="F101" s="7" t="n">
        <v>1746.81898656</v>
      </c>
      <c r="G101" s="7" t="n">
        <v>1746.819</v>
      </c>
      <c r="H101" s="6" t="s">
        <v>15</v>
      </c>
      <c r="I101" s="0" t="n">
        <v>4</v>
      </c>
      <c r="J101" s="1" t="n">
        <f aca="false">CONVERT(G101,"m^2","ha")</f>
        <v>0.1746819</v>
      </c>
      <c r="K101" s="0" t="b">
        <f aca="false">IF(J101&gt;(I101*2),((ROUNDDOWN(J101/I101,0))-1))</f>
        <v>0</v>
      </c>
    </row>
    <row r="102" customFormat="false" ht="12.75" hidden="false" customHeight="false" outlineLevel="0" collapsed="false">
      <c r="A102" s="5" t="n">
        <v>1257</v>
      </c>
      <c r="B102" s="6" t="s">
        <v>215</v>
      </c>
      <c r="C102" s="6" t="s">
        <v>89</v>
      </c>
      <c r="D102" s="6" t="s">
        <v>216</v>
      </c>
      <c r="E102" s="6" t="s">
        <v>14</v>
      </c>
      <c r="F102" s="7" t="n">
        <v>1720.91401404</v>
      </c>
      <c r="G102" s="7" t="n">
        <v>1720.914</v>
      </c>
      <c r="H102" s="6" t="s">
        <v>15</v>
      </c>
      <c r="I102" s="0" t="n">
        <v>4</v>
      </c>
      <c r="J102" s="1" t="n">
        <f aca="false">CONVERT(G102,"m^2","ha")</f>
        <v>0.1720914</v>
      </c>
      <c r="K102" s="0" t="b">
        <f aca="false">IF(J102&gt;(I102*2),((ROUNDDOWN(J102/I102,0))-1))</f>
        <v>0</v>
      </c>
    </row>
    <row r="103" customFormat="false" ht="12.75" hidden="false" customHeight="false" outlineLevel="0" collapsed="false">
      <c r="A103" s="5" t="n">
        <v>1258</v>
      </c>
      <c r="B103" s="6" t="s">
        <v>217</v>
      </c>
      <c r="C103" s="6" t="s">
        <v>89</v>
      </c>
      <c r="D103" s="6" t="s">
        <v>218</v>
      </c>
      <c r="E103" s="6" t="s">
        <v>14</v>
      </c>
      <c r="F103" s="7" t="n">
        <v>3230.205035185</v>
      </c>
      <c r="G103" s="7" t="n">
        <v>3230.205</v>
      </c>
      <c r="H103" s="6" t="s">
        <v>15</v>
      </c>
      <c r="I103" s="0" t="n">
        <v>4</v>
      </c>
      <c r="J103" s="1" t="n">
        <f aca="false">CONVERT(G103,"m^2","ha")</f>
        <v>0.3230205</v>
      </c>
      <c r="K103" s="0" t="b">
        <f aca="false">IF(J103&gt;(I103*2),((ROUNDDOWN(J103/I103,0))-1))</f>
        <v>0</v>
      </c>
    </row>
    <row r="104" customFormat="false" ht="12.75" hidden="false" customHeight="false" outlineLevel="0" collapsed="false">
      <c r="A104" s="5" t="n">
        <v>1259</v>
      </c>
      <c r="B104" s="6" t="s">
        <v>219</v>
      </c>
      <c r="C104" s="6" t="s">
        <v>89</v>
      </c>
      <c r="D104" s="6" t="s">
        <v>220</v>
      </c>
      <c r="E104" s="6" t="s">
        <v>14</v>
      </c>
      <c r="F104" s="7" t="n">
        <v>3701.07721251</v>
      </c>
      <c r="G104" s="7" t="n">
        <v>3701.077</v>
      </c>
      <c r="H104" s="6" t="s">
        <v>15</v>
      </c>
      <c r="I104" s="0" t="n">
        <v>4</v>
      </c>
      <c r="J104" s="1" t="n">
        <f aca="false">CONVERT(G104,"m^2","ha")</f>
        <v>0.3701077</v>
      </c>
      <c r="K104" s="0" t="b">
        <f aca="false">IF(J104&gt;(I104*2),((ROUNDDOWN(J104/I104,0))-1))</f>
        <v>0</v>
      </c>
    </row>
    <row r="105" customFormat="false" ht="12.75" hidden="false" customHeight="false" outlineLevel="0" collapsed="false">
      <c r="A105" s="5" t="n">
        <v>1260</v>
      </c>
      <c r="B105" s="6" t="s">
        <v>221</v>
      </c>
      <c r="C105" s="6" t="s">
        <v>89</v>
      </c>
      <c r="D105" s="6" t="s">
        <v>222</v>
      </c>
      <c r="E105" s="6" t="s">
        <v>14</v>
      </c>
      <c r="F105" s="7" t="n">
        <v>5913.09009635</v>
      </c>
      <c r="G105" s="7" t="n">
        <v>5913.09</v>
      </c>
      <c r="H105" s="6" t="s">
        <v>15</v>
      </c>
      <c r="I105" s="0" t="n">
        <v>4</v>
      </c>
      <c r="J105" s="1" t="n">
        <f aca="false">CONVERT(G105,"m^2","ha")</f>
        <v>0.591309</v>
      </c>
      <c r="K105" s="0" t="b">
        <f aca="false">IF(J105&gt;(I105*2),((ROUNDDOWN(J105/I105,0))-1))</f>
        <v>0</v>
      </c>
    </row>
    <row r="106" customFormat="false" ht="12.75" hidden="false" customHeight="false" outlineLevel="0" collapsed="false">
      <c r="A106" s="5" t="n">
        <v>1261</v>
      </c>
      <c r="B106" s="6" t="s">
        <v>223</v>
      </c>
      <c r="C106" s="6" t="s">
        <v>89</v>
      </c>
      <c r="D106" s="6" t="s">
        <v>224</v>
      </c>
      <c r="E106" s="6" t="s">
        <v>14</v>
      </c>
      <c r="F106" s="7" t="n">
        <v>2898.007611415</v>
      </c>
      <c r="G106" s="7" t="n">
        <v>2898.008</v>
      </c>
      <c r="H106" s="6" t="s">
        <v>15</v>
      </c>
      <c r="I106" s="0" t="n">
        <v>4</v>
      </c>
      <c r="J106" s="1" t="n">
        <f aca="false">CONVERT(G106,"m^2","ha")</f>
        <v>0.2898008</v>
      </c>
      <c r="K106" s="0" t="b">
        <f aca="false">IF(J106&gt;(I106*2),((ROUNDDOWN(J106/I106,0))-1))</f>
        <v>0</v>
      </c>
    </row>
    <row r="107" customFormat="false" ht="12.75" hidden="false" customHeight="false" outlineLevel="0" collapsed="false">
      <c r="A107" s="5" t="n">
        <v>1262</v>
      </c>
      <c r="B107" s="6" t="s">
        <v>225</v>
      </c>
      <c r="C107" s="6" t="s">
        <v>89</v>
      </c>
      <c r="D107" s="6" t="s">
        <v>226</v>
      </c>
      <c r="E107" s="6" t="s">
        <v>14</v>
      </c>
      <c r="F107" s="7" t="n">
        <v>3752.405828945</v>
      </c>
      <c r="G107" s="7" t="n">
        <v>3752.406</v>
      </c>
      <c r="H107" s="6" t="s">
        <v>15</v>
      </c>
      <c r="I107" s="0" t="n">
        <v>4</v>
      </c>
      <c r="J107" s="1" t="n">
        <f aca="false">CONVERT(G107,"m^2","ha")</f>
        <v>0.3752406</v>
      </c>
      <c r="K107" s="0" t="b">
        <f aca="false">IF(J107&gt;(I107*2),((ROUNDDOWN(J107/I107,0))-1))</f>
        <v>0</v>
      </c>
    </row>
    <row r="108" customFormat="false" ht="12.75" hidden="false" customHeight="false" outlineLevel="0" collapsed="false">
      <c r="A108" s="5" t="n">
        <v>1263</v>
      </c>
      <c r="B108" s="6" t="s">
        <v>227</v>
      </c>
      <c r="C108" s="6" t="s">
        <v>89</v>
      </c>
      <c r="D108" s="6" t="s">
        <v>228</v>
      </c>
      <c r="E108" s="6" t="s">
        <v>14</v>
      </c>
      <c r="F108" s="7" t="n">
        <v>6516.10883853</v>
      </c>
      <c r="G108" s="7" t="n">
        <v>6516.109</v>
      </c>
      <c r="H108" s="6" t="s">
        <v>15</v>
      </c>
      <c r="I108" s="0" t="n">
        <v>4</v>
      </c>
      <c r="J108" s="1" t="n">
        <f aca="false">CONVERT(G108,"m^2","ha")</f>
        <v>0.6516109</v>
      </c>
      <c r="K108" s="0" t="b">
        <f aca="false">IF(J108&gt;(I108*2),((ROUNDDOWN(J108/I108,0))-1))</f>
        <v>0</v>
      </c>
    </row>
    <row r="109" customFormat="false" ht="12.75" hidden="false" customHeight="false" outlineLevel="0" collapsed="false">
      <c r="A109" s="5" t="n">
        <v>1264</v>
      </c>
      <c r="B109" s="6" t="s">
        <v>229</v>
      </c>
      <c r="C109" s="6" t="s">
        <v>89</v>
      </c>
      <c r="D109" s="6" t="s">
        <v>230</v>
      </c>
      <c r="E109" s="6" t="s">
        <v>14</v>
      </c>
      <c r="F109" s="7" t="n">
        <v>4632.33082836</v>
      </c>
      <c r="G109" s="7" t="n">
        <v>4632.331</v>
      </c>
      <c r="H109" s="6" t="s">
        <v>15</v>
      </c>
      <c r="I109" s="0" t="n">
        <v>4</v>
      </c>
      <c r="J109" s="1" t="n">
        <f aca="false">CONVERT(G109,"m^2","ha")</f>
        <v>0.4632331</v>
      </c>
      <c r="K109" s="0" t="b">
        <f aca="false">IF(J109&gt;(I109*2),((ROUNDDOWN(J109/I109,0))-1))</f>
        <v>0</v>
      </c>
    </row>
    <row r="110" customFormat="false" ht="12.75" hidden="false" customHeight="false" outlineLevel="0" collapsed="false">
      <c r="A110" s="5" t="n">
        <v>1265</v>
      </c>
      <c r="B110" s="6" t="s">
        <v>231</v>
      </c>
      <c r="C110" s="6" t="s">
        <v>89</v>
      </c>
      <c r="D110" s="6" t="s">
        <v>232</v>
      </c>
      <c r="E110" s="6" t="s">
        <v>14</v>
      </c>
      <c r="F110" s="7" t="n">
        <v>3481.03254969</v>
      </c>
      <c r="G110" s="7" t="n">
        <v>3481.033</v>
      </c>
      <c r="H110" s="6" t="s">
        <v>15</v>
      </c>
      <c r="I110" s="0" t="n">
        <v>4</v>
      </c>
      <c r="J110" s="1" t="n">
        <f aca="false">CONVERT(G110,"m^2","ha")</f>
        <v>0.3481033</v>
      </c>
      <c r="K110" s="0" t="b">
        <f aca="false">IF(J110&gt;(I110*2),((ROUNDDOWN(J110/I110,0))-1))</f>
        <v>0</v>
      </c>
    </row>
    <row r="111" customFormat="false" ht="12.75" hidden="false" customHeight="false" outlineLevel="0" collapsed="false">
      <c r="A111" s="5" t="n">
        <v>1266</v>
      </c>
      <c r="B111" s="6" t="s">
        <v>233</v>
      </c>
      <c r="C111" s="6" t="s">
        <v>89</v>
      </c>
      <c r="D111" s="6" t="s">
        <v>234</v>
      </c>
      <c r="E111" s="6" t="s">
        <v>14</v>
      </c>
      <c r="F111" s="7" t="n">
        <v>2310.36033709</v>
      </c>
      <c r="G111" s="7" t="n">
        <v>2310.36</v>
      </c>
      <c r="H111" s="6" t="s">
        <v>15</v>
      </c>
      <c r="I111" s="0" t="n">
        <v>4</v>
      </c>
      <c r="J111" s="1" t="n">
        <f aca="false">CONVERT(G111,"m^2","ha")</f>
        <v>0.231036</v>
      </c>
      <c r="K111" s="0" t="b">
        <f aca="false">IF(J111&gt;(I111*2),((ROUNDDOWN(J111/I111,0))-1))</f>
        <v>0</v>
      </c>
    </row>
    <row r="112" customFormat="false" ht="12.75" hidden="false" customHeight="false" outlineLevel="0" collapsed="false">
      <c r="A112" s="5" t="n">
        <v>1267</v>
      </c>
      <c r="B112" s="6" t="s">
        <v>235</v>
      </c>
      <c r="C112" s="6" t="s">
        <v>89</v>
      </c>
      <c r="D112" s="6" t="s">
        <v>236</v>
      </c>
      <c r="E112" s="6" t="s">
        <v>14</v>
      </c>
      <c r="F112" s="7" t="n">
        <v>2712.40176359</v>
      </c>
      <c r="G112" s="7" t="n">
        <v>2712.402</v>
      </c>
      <c r="H112" s="6" t="s">
        <v>15</v>
      </c>
      <c r="I112" s="0" t="n">
        <v>4</v>
      </c>
      <c r="J112" s="1" t="n">
        <f aca="false">CONVERT(G112,"m^2","ha")</f>
        <v>0.2712402</v>
      </c>
      <c r="K112" s="0" t="b">
        <f aca="false">IF(J112&gt;(I112*2),((ROUNDDOWN(J112/I112,0))-1))</f>
        <v>0</v>
      </c>
    </row>
    <row r="113" customFormat="false" ht="12.75" hidden="false" customHeight="false" outlineLevel="0" collapsed="false">
      <c r="A113" s="5" t="n">
        <v>1268</v>
      </c>
      <c r="B113" s="6" t="s">
        <v>237</v>
      </c>
      <c r="C113" s="6" t="s">
        <v>89</v>
      </c>
      <c r="D113" s="6" t="s">
        <v>238</v>
      </c>
      <c r="E113" s="6" t="s">
        <v>14</v>
      </c>
      <c r="F113" s="7" t="n">
        <v>3942.122187555</v>
      </c>
      <c r="G113" s="7" t="n">
        <v>3942.122</v>
      </c>
      <c r="H113" s="6" t="s">
        <v>15</v>
      </c>
      <c r="I113" s="0" t="n">
        <v>4</v>
      </c>
      <c r="J113" s="1" t="n">
        <f aca="false">CONVERT(G113,"m^2","ha")</f>
        <v>0.3942122</v>
      </c>
      <c r="K113" s="0" t="b">
        <f aca="false">IF(J113&gt;(I113*2),((ROUNDDOWN(J113/I113,0))-1))</f>
        <v>0</v>
      </c>
    </row>
    <row r="114" customFormat="false" ht="12.75" hidden="false" customHeight="false" outlineLevel="0" collapsed="false">
      <c r="A114" s="5" t="n">
        <v>1276</v>
      </c>
      <c r="B114" s="6" t="s">
        <v>239</v>
      </c>
      <c r="C114" s="6" t="s">
        <v>12</v>
      </c>
      <c r="D114" s="6" t="s">
        <v>240</v>
      </c>
      <c r="E114" s="6" t="s">
        <v>14</v>
      </c>
      <c r="F114" s="7" t="n">
        <v>3006.01165258</v>
      </c>
      <c r="G114" s="7" t="n">
        <v>3005.572</v>
      </c>
      <c r="H114" s="6" t="s">
        <v>15</v>
      </c>
      <c r="I114" s="0" t="n">
        <v>4</v>
      </c>
      <c r="J114" s="1" t="n">
        <f aca="false">CONVERT(G114,"m^2","ha")</f>
        <v>0.3005572</v>
      </c>
      <c r="K114" s="0" t="b">
        <f aca="false">IF(J114&gt;(I114*2),((ROUNDDOWN(J114/I114,0))-1))</f>
        <v>0</v>
      </c>
    </row>
    <row r="115" customFormat="false" ht="12.75" hidden="false" customHeight="false" outlineLevel="0" collapsed="false">
      <c r="A115" s="5" t="n">
        <v>1280</v>
      </c>
      <c r="B115" s="6" t="s">
        <v>241</v>
      </c>
      <c r="C115" s="6" t="s">
        <v>12</v>
      </c>
      <c r="D115" s="6" t="s">
        <v>242</v>
      </c>
      <c r="E115" s="6" t="s">
        <v>14</v>
      </c>
      <c r="F115" s="7" t="n">
        <v>40058.65611535</v>
      </c>
      <c r="G115" s="7" t="n">
        <v>40059.037</v>
      </c>
      <c r="H115" s="6" t="s">
        <v>15</v>
      </c>
      <c r="I115" s="0" t="n">
        <v>4</v>
      </c>
      <c r="J115" s="1" t="n">
        <f aca="false">CONVERT(G115,"m^2","ha")</f>
        <v>4.0059037</v>
      </c>
      <c r="K115" s="0" t="b">
        <f aca="false">IF(J115&gt;(I115*2),((ROUNDDOWN(J115/I115,0))-1))</f>
        <v>0</v>
      </c>
    </row>
    <row r="116" customFormat="false" ht="12.75" hidden="false" customHeight="false" outlineLevel="0" collapsed="false">
      <c r="A116" s="5" t="n">
        <v>1284</v>
      </c>
      <c r="B116" s="6" t="s">
        <v>243</v>
      </c>
      <c r="C116" s="6" t="s">
        <v>12</v>
      </c>
      <c r="D116" s="6" t="s">
        <v>244</v>
      </c>
      <c r="E116" s="6" t="s">
        <v>14</v>
      </c>
      <c r="F116" s="7" t="n">
        <v>43964.71964934</v>
      </c>
      <c r="G116" s="7" t="n">
        <v>43964.72</v>
      </c>
      <c r="H116" s="6" t="s">
        <v>15</v>
      </c>
      <c r="I116" s="0" t="n">
        <v>4</v>
      </c>
      <c r="J116" s="1" t="n">
        <f aca="false">CONVERT(G116,"m^2","ha")</f>
        <v>4.396472</v>
      </c>
      <c r="K116" s="0" t="b">
        <f aca="false">IF(J116&gt;(I116*2),((ROUNDDOWN(J116/I116,0))-1))</f>
        <v>0</v>
      </c>
    </row>
    <row r="117" customFormat="false" ht="12.75" hidden="false" customHeight="false" outlineLevel="0" collapsed="false">
      <c r="A117" s="5" t="n">
        <v>1286</v>
      </c>
      <c r="B117" s="6" t="s">
        <v>245</v>
      </c>
      <c r="C117" s="6" t="s">
        <v>12</v>
      </c>
      <c r="D117" s="6" t="s">
        <v>246</v>
      </c>
      <c r="E117" s="6" t="s">
        <v>14</v>
      </c>
      <c r="F117" s="7" t="n">
        <v>6151.07776101</v>
      </c>
      <c r="G117" s="7" t="n">
        <v>6151.078</v>
      </c>
      <c r="H117" s="6" t="s">
        <v>15</v>
      </c>
      <c r="I117" s="0" t="n">
        <v>4</v>
      </c>
      <c r="J117" s="1" t="n">
        <f aca="false">CONVERT(G117,"m^2","ha")</f>
        <v>0.6151078</v>
      </c>
      <c r="K117" s="0" t="b">
        <f aca="false">IF(J117&gt;(I117*2),((ROUNDDOWN(J117/I117,0))-1))</f>
        <v>0</v>
      </c>
    </row>
    <row r="118" customFormat="false" ht="12.75" hidden="false" customHeight="false" outlineLevel="0" collapsed="false">
      <c r="A118" s="5" t="n">
        <v>1287</v>
      </c>
      <c r="B118" s="6" t="s">
        <v>247</v>
      </c>
      <c r="C118" s="6" t="s">
        <v>12</v>
      </c>
      <c r="D118" s="6" t="s">
        <v>248</v>
      </c>
      <c r="E118" s="6" t="s">
        <v>14</v>
      </c>
      <c r="F118" s="7" t="n">
        <v>39874.779074325</v>
      </c>
      <c r="G118" s="7" t="n">
        <v>39874.779</v>
      </c>
      <c r="H118" s="6" t="s">
        <v>15</v>
      </c>
      <c r="I118" s="0" t="n">
        <v>4</v>
      </c>
      <c r="J118" s="1" t="n">
        <f aca="false">CONVERT(G118,"m^2","ha")</f>
        <v>3.9874779</v>
      </c>
      <c r="K118" s="0" t="b">
        <f aca="false">IF(J118&gt;(I118*2),((ROUNDDOWN(J118/I118,0))-1))</f>
        <v>0</v>
      </c>
    </row>
    <row r="119" customFormat="false" ht="12.75" hidden="false" customHeight="false" outlineLevel="0" collapsed="false">
      <c r="A119" s="5" t="n">
        <v>1290</v>
      </c>
      <c r="B119" s="6" t="s">
        <v>249</v>
      </c>
      <c r="C119" s="6" t="s">
        <v>12</v>
      </c>
      <c r="D119" s="6" t="s">
        <v>250</v>
      </c>
      <c r="E119" s="6" t="s">
        <v>14</v>
      </c>
      <c r="F119" s="7" t="n">
        <v>40282.927518095</v>
      </c>
      <c r="G119" s="7" t="n">
        <v>40282.553</v>
      </c>
      <c r="H119" s="6" t="s">
        <v>15</v>
      </c>
      <c r="I119" s="0" t="n">
        <v>4</v>
      </c>
      <c r="J119" s="1" t="n">
        <f aca="false">CONVERT(G119,"m^2","ha")</f>
        <v>4.0282553</v>
      </c>
      <c r="K119" s="0" t="b">
        <f aca="false">IF(J119&gt;(I119*2),((ROUNDDOWN(J119/I119,0))-1))</f>
        <v>0</v>
      </c>
    </row>
    <row r="120" customFormat="false" ht="12.75" hidden="false" customHeight="false" outlineLevel="0" collapsed="false">
      <c r="A120" s="5" t="n">
        <v>1291</v>
      </c>
      <c r="B120" s="6" t="s">
        <v>251</v>
      </c>
      <c r="C120" s="6" t="s">
        <v>12</v>
      </c>
      <c r="D120" s="6" t="s">
        <v>252</v>
      </c>
      <c r="E120" s="6" t="s">
        <v>14</v>
      </c>
      <c r="F120" s="7" t="n">
        <v>40018.292899455</v>
      </c>
      <c r="G120" s="7" t="n">
        <v>40018.293</v>
      </c>
      <c r="H120" s="6" t="s">
        <v>15</v>
      </c>
      <c r="I120" s="0" t="n">
        <v>4</v>
      </c>
      <c r="J120" s="1" t="n">
        <f aca="false">CONVERT(G120,"m^2","ha")</f>
        <v>4.0018293</v>
      </c>
      <c r="K120" s="0" t="b">
        <f aca="false">IF(J120&gt;(I120*2),((ROUNDDOWN(J120/I120,0))-1))</f>
        <v>0</v>
      </c>
    </row>
    <row r="121" customFormat="false" ht="12.75" hidden="false" customHeight="false" outlineLevel="0" collapsed="false">
      <c r="A121" s="5" t="n">
        <v>1292</v>
      </c>
      <c r="B121" s="6" t="s">
        <v>253</v>
      </c>
      <c r="C121" s="6" t="s">
        <v>12</v>
      </c>
      <c r="D121" s="6" t="s">
        <v>254</v>
      </c>
      <c r="E121" s="6" t="s">
        <v>14</v>
      </c>
      <c r="F121" s="7" t="n">
        <v>41894.30915056</v>
      </c>
      <c r="G121" s="7" t="n">
        <v>41894.309</v>
      </c>
      <c r="H121" s="6" t="s">
        <v>15</v>
      </c>
      <c r="I121" s="0" t="n">
        <v>4</v>
      </c>
      <c r="J121" s="1" t="n">
        <f aca="false">CONVERT(G121,"m^2","ha")</f>
        <v>4.1894309</v>
      </c>
      <c r="K121" s="0" t="b">
        <f aca="false">IF(J121&gt;(I121*2),((ROUNDDOWN(J121/I121,0))-1))</f>
        <v>0</v>
      </c>
    </row>
    <row r="122" customFormat="false" ht="12.75" hidden="false" customHeight="false" outlineLevel="0" collapsed="false">
      <c r="A122" s="5" t="n">
        <v>1293</v>
      </c>
      <c r="B122" s="6" t="s">
        <v>255</v>
      </c>
      <c r="C122" s="6" t="s">
        <v>12</v>
      </c>
      <c r="D122" s="6" t="s">
        <v>256</v>
      </c>
      <c r="E122" s="6" t="s">
        <v>14</v>
      </c>
      <c r="F122" s="7" t="n">
        <v>47332.13007727</v>
      </c>
      <c r="G122" s="7" t="n">
        <v>47332.027</v>
      </c>
      <c r="H122" s="6" t="s">
        <v>15</v>
      </c>
      <c r="I122" s="0" t="n">
        <v>4</v>
      </c>
      <c r="J122" s="1" t="n">
        <f aca="false">CONVERT(G122,"m^2","ha")</f>
        <v>4.7332027</v>
      </c>
      <c r="K122" s="0" t="b">
        <f aca="false">IF(J122&gt;(I122*2),((ROUNDDOWN(J122/I122,0))-1))</f>
        <v>0</v>
      </c>
    </row>
    <row r="123" customFormat="false" ht="12.75" hidden="false" customHeight="false" outlineLevel="0" collapsed="false">
      <c r="A123" s="5" t="n">
        <v>1294</v>
      </c>
      <c r="B123" s="6" t="s">
        <v>257</v>
      </c>
      <c r="C123" s="6" t="s">
        <v>12</v>
      </c>
      <c r="D123" s="6" t="s">
        <v>258</v>
      </c>
      <c r="E123" s="6" t="s">
        <v>14</v>
      </c>
      <c r="F123" s="7" t="n">
        <v>40043.915651665</v>
      </c>
      <c r="G123" s="7" t="n">
        <v>40043.916</v>
      </c>
      <c r="H123" s="6" t="s">
        <v>15</v>
      </c>
      <c r="I123" s="0" t="n">
        <v>4</v>
      </c>
      <c r="J123" s="1" t="n">
        <f aca="false">CONVERT(G123,"m^2","ha")</f>
        <v>4.0043916</v>
      </c>
      <c r="K123" s="0" t="b">
        <f aca="false">IF(J123&gt;(I123*2),((ROUNDDOWN(J123/I123,0))-1))</f>
        <v>0</v>
      </c>
    </row>
    <row r="124" customFormat="false" ht="12.75" hidden="false" customHeight="false" outlineLevel="0" collapsed="false">
      <c r="A124" s="5" t="n">
        <v>1295</v>
      </c>
      <c r="B124" s="6" t="s">
        <v>259</v>
      </c>
      <c r="C124" s="6" t="s">
        <v>12</v>
      </c>
      <c r="D124" s="6" t="s">
        <v>260</v>
      </c>
      <c r="E124" s="6" t="s">
        <v>14</v>
      </c>
      <c r="F124" s="7" t="n">
        <v>40036.142803385</v>
      </c>
      <c r="G124" s="7" t="n">
        <v>40035.129</v>
      </c>
      <c r="H124" s="6" t="s">
        <v>15</v>
      </c>
      <c r="I124" s="0" t="n">
        <v>4</v>
      </c>
      <c r="J124" s="1" t="n">
        <f aca="false">CONVERT(G124,"m^2","ha")</f>
        <v>4.0035129</v>
      </c>
      <c r="K124" s="0" t="b">
        <f aca="false">IF(J124&gt;(I124*2),((ROUNDDOWN(J124/I124,0))-1))</f>
        <v>0</v>
      </c>
    </row>
    <row r="125" customFormat="false" ht="12.75" hidden="false" customHeight="false" outlineLevel="0" collapsed="false">
      <c r="A125" s="5" t="n">
        <v>1296</v>
      </c>
      <c r="B125" s="6" t="s">
        <v>261</v>
      </c>
      <c r="C125" s="6" t="s">
        <v>12</v>
      </c>
      <c r="D125" s="6" t="s">
        <v>262</v>
      </c>
      <c r="E125" s="6" t="s">
        <v>14</v>
      </c>
      <c r="F125" s="7" t="n">
        <v>40080.950241785</v>
      </c>
      <c r="G125" s="7" t="n">
        <v>40081.654</v>
      </c>
      <c r="H125" s="6" t="s">
        <v>15</v>
      </c>
      <c r="I125" s="0" t="n">
        <v>4</v>
      </c>
      <c r="J125" s="1" t="n">
        <f aca="false">CONVERT(G125,"m^2","ha")</f>
        <v>4.0081654</v>
      </c>
      <c r="K125" s="0" t="b">
        <f aca="false">IF(J125&gt;(I125*2),((ROUNDDOWN(J125/I125,0))-1))</f>
        <v>0</v>
      </c>
    </row>
    <row r="126" customFormat="false" ht="12.75" hidden="false" customHeight="false" outlineLevel="0" collapsed="false">
      <c r="A126" s="5" t="n">
        <v>1299</v>
      </c>
      <c r="B126" s="6" t="s">
        <v>263</v>
      </c>
      <c r="C126" s="6" t="s">
        <v>12</v>
      </c>
      <c r="D126" s="6" t="s">
        <v>264</v>
      </c>
      <c r="E126" s="6" t="s">
        <v>14</v>
      </c>
      <c r="F126" s="7" t="n">
        <v>40057.23364025</v>
      </c>
      <c r="G126" s="7" t="n">
        <v>40057.234</v>
      </c>
      <c r="H126" s="6" t="s">
        <v>15</v>
      </c>
      <c r="I126" s="0" t="n">
        <v>4</v>
      </c>
      <c r="J126" s="1" t="n">
        <f aca="false">CONVERT(G126,"m^2","ha")</f>
        <v>4.0057234</v>
      </c>
      <c r="K126" s="0" t="b">
        <f aca="false">IF(J126&gt;(I126*2),((ROUNDDOWN(J126/I126,0))-1))</f>
        <v>0</v>
      </c>
    </row>
    <row r="127" customFormat="false" ht="12.75" hidden="false" customHeight="false" outlineLevel="0" collapsed="false">
      <c r="A127" s="5" t="n">
        <v>1301</v>
      </c>
      <c r="B127" s="6" t="s">
        <v>265</v>
      </c>
      <c r="C127" s="6" t="s">
        <v>12</v>
      </c>
      <c r="D127" s="6" t="s">
        <v>266</v>
      </c>
      <c r="E127" s="6" t="s">
        <v>14</v>
      </c>
      <c r="F127" s="7" t="n">
        <v>40186.26968219</v>
      </c>
      <c r="G127" s="7" t="n">
        <v>40186.27</v>
      </c>
      <c r="H127" s="6" t="s">
        <v>15</v>
      </c>
      <c r="I127" s="0" t="n">
        <v>4</v>
      </c>
      <c r="J127" s="1" t="n">
        <f aca="false">CONVERT(G127,"m^2","ha")</f>
        <v>4.018627</v>
      </c>
      <c r="K127" s="0" t="b">
        <f aca="false">IF(J127&gt;(I127*2),((ROUNDDOWN(J127/I127,0))-1))</f>
        <v>0</v>
      </c>
    </row>
    <row r="128" customFormat="false" ht="12.75" hidden="false" customHeight="false" outlineLevel="0" collapsed="false">
      <c r="A128" s="5" t="n">
        <v>1303</v>
      </c>
      <c r="B128" s="6" t="s">
        <v>267</v>
      </c>
      <c r="C128" s="6" t="s">
        <v>12</v>
      </c>
      <c r="D128" s="6" t="s">
        <v>268</v>
      </c>
      <c r="E128" s="6" t="s">
        <v>14</v>
      </c>
      <c r="F128" s="7" t="n">
        <v>44948.29477317</v>
      </c>
      <c r="G128" s="7" t="n">
        <v>44948.295</v>
      </c>
      <c r="H128" s="6" t="s">
        <v>15</v>
      </c>
      <c r="I128" s="0" t="n">
        <v>4</v>
      </c>
      <c r="J128" s="1" t="n">
        <f aca="false">CONVERT(G128,"m^2","ha")</f>
        <v>4.4948295</v>
      </c>
      <c r="K128" s="0" t="b">
        <f aca="false">IF(J128&gt;(I128*2),((ROUNDDOWN(J128/I128,0))-1))</f>
        <v>0</v>
      </c>
    </row>
    <row r="129" customFormat="false" ht="12.75" hidden="false" customHeight="false" outlineLevel="0" collapsed="false">
      <c r="A129" s="5" t="n">
        <v>1304</v>
      </c>
      <c r="B129" s="6" t="s">
        <v>269</v>
      </c>
      <c r="C129" s="6" t="s">
        <v>12</v>
      </c>
      <c r="D129" s="6" t="s">
        <v>270</v>
      </c>
      <c r="E129" s="6" t="s">
        <v>14</v>
      </c>
      <c r="F129" s="7" t="n">
        <v>40065.22229519</v>
      </c>
      <c r="G129" s="7" t="n">
        <v>40065.222</v>
      </c>
      <c r="H129" s="6" t="s">
        <v>15</v>
      </c>
      <c r="I129" s="0" t="n">
        <v>4</v>
      </c>
      <c r="J129" s="1" t="n">
        <f aca="false">CONVERT(G129,"m^2","ha")</f>
        <v>4.0065222</v>
      </c>
      <c r="K129" s="0" t="b">
        <f aca="false">IF(J129&gt;(I129*2),((ROUNDDOWN(J129/I129,0))-1))</f>
        <v>0</v>
      </c>
    </row>
    <row r="130" customFormat="false" ht="12.75" hidden="false" customHeight="false" outlineLevel="0" collapsed="false">
      <c r="A130" s="5" t="n">
        <v>1306</v>
      </c>
      <c r="B130" s="6" t="s">
        <v>271</v>
      </c>
      <c r="C130" s="6" t="s">
        <v>12</v>
      </c>
      <c r="D130" s="6" t="s">
        <v>272</v>
      </c>
      <c r="E130" s="6" t="s">
        <v>14</v>
      </c>
      <c r="F130" s="7" t="n">
        <v>7451.50388304</v>
      </c>
      <c r="G130" s="7" t="n">
        <v>7450.637</v>
      </c>
      <c r="H130" s="6" t="s">
        <v>15</v>
      </c>
      <c r="I130" s="0" t="n">
        <v>4</v>
      </c>
      <c r="J130" s="1" t="n">
        <f aca="false">CONVERT(G130,"m^2","ha")</f>
        <v>0.7450637</v>
      </c>
      <c r="K130" s="0" t="b">
        <f aca="false">IF(J130&gt;(I130*2),((ROUNDDOWN(J130/I130,0))-1))</f>
        <v>0</v>
      </c>
    </row>
    <row r="131" customFormat="false" ht="12.75" hidden="false" customHeight="false" outlineLevel="0" collapsed="false">
      <c r="A131" s="5" t="n">
        <v>1307</v>
      </c>
      <c r="B131" s="6" t="s">
        <v>273</v>
      </c>
      <c r="C131" s="6" t="s">
        <v>12</v>
      </c>
      <c r="D131" s="6" t="s">
        <v>274</v>
      </c>
      <c r="E131" s="6" t="s">
        <v>14</v>
      </c>
      <c r="F131" s="7" t="n">
        <v>40116.690624295</v>
      </c>
      <c r="G131" s="7" t="n">
        <v>40116.691</v>
      </c>
      <c r="H131" s="6" t="s">
        <v>15</v>
      </c>
      <c r="I131" s="0" t="n">
        <v>4</v>
      </c>
      <c r="J131" s="1" t="n">
        <f aca="false">CONVERT(G131,"m^2","ha")</f>
        <v>4.0116691</v>
      </c>
      <c r="K131" s="0" t="b">
        <f aca="false">IF(J131&gt;(I131*2),((ROUNDDOWN(J131/I131,0))-1))</f>
        <v>0</v>
      </c>
    </row>
    <row r="132" customFormat="false" ht="12.75" hidden="false" customHeight="false" outlineLevel="0" collapsed="false">
      <c r="A132" s="5" t="n">
        <v>1310</v>
      </c>
      <c r="B132" s="6" t="s">
        <v>275</v>
      </c>
      <c r="C132" s="6" t="s">
        <v>12</v>
      </c>
      <c r="D132" s="6" t="s">
        <v>276</v>
      </c>
      <c r="E132" s="6" t="s">
        <v>14</v>
      </c>
      <c r="F132" s="7" t="n">
        <v>58229.401032825</v>
      </c>
      <c r="G132" s="7" t="n">
        <v>58229.344</v>
      </c>
      <c r="H132" s="6" t="s">
        <v>15</v>
      </c>
      <c r="I132" s="0" t="n">
        <v>4</v>
      </c>
      <c r="J132" s="1" t="n">
        <f aca="false">CONVERT(G132,"m^2","ha")</f>
        <v>5.8229344</v>
      </c>
      <c r="K132" s="0" t="b">
        <f aca="false">IF(J132&gt;(I132*2),((ROUNDDOWN(J132/I132,0))-1))</f>
        <v>0</v>
      </c>
    </row>
    <row r="133" customFormat="false" ht="12.75" hidden="false" customHeight="false" outlineLevel="0" collapsed="false">
      <c r="A133" s="5" t="n">
        <v>1311</v>
      </c>
      <c r="B133" s="6" t="s">
        <v>277</v>
      </c>
      <c r="C133" s="6" t="s">
        <v>12</v>
      </c>
      <c r="D133" s="6" t="s">
        <v>278</v>
      </c>
      <c r="E133" s="6" t="s">
        <v>14</v>
      </c>
      <c r="F133" s="7" t="n">
        <v>39888.29198362</v>
      </c>
      <c r="G133" s="7" t="n">
        <v>39888.292</v>
      </c>
      <c r="H133" s="6" t="s">
        <v>15</v>
      </c>
      <c r="I133" s="0" t="n">
        <v>4</v>
      </c>
      <c r="J133" s="1" t="n">
        <f aca="false">CONVERT(G133,"m^2","ha")</f>
        <v>3.9888292</v>
      </c>
      <c r="K133" s="0" t="b">
        <f aca="false">IF(J133&gt;(I133*2),((ROUNDDOWN(J133/I133,0))-1))</f>
        <v>0</v>
      </c>
    </row>
    <row r="134" customFormat="false" ht="12.75" hidden="false" customHeight="false" outlineLevel="0" collapsed="false">
      <c r="A134" s="5" t="n">
        <v>1315</v>
      </c>
      <c r="B134" s="6" t="s">
        <v>279</v>
      </c>
      <c r="C134" s="6" t="s">
        <v>12</v>
      </c>
      <c r="D134" s="6" t="s">
        <v>280</v>
      </c>
      <c r="E134" s="6" t="s">
        <v>14</v>
      </c>
      <c r="F134" s="7" t="n">
        <v>40111.333651535</v>
      </c>
      <c r="G134" s="7" t="n">
        <v>40111.334</v>
      </c>
      <c r="H134" s="6" t="s">
        <v>15</v>
      </c>
      <c r="I134" s="0" t="n">
        <v>4</v>
      </c>
      <c r="J134" s="1" t="n">
        <f aca="false">CONVERT(G134,"m^2","ha")</f>
        <v>4.0111334</v>
      </c>
      <c r="K134" s="0" t="b">
        <f aca="false">IF(J134&gt;(I134*2),((ROUNDDOWN(J134/I134,0))-1))</f>
        <v>0</v>
      </c>
    </row>
    <row r="135" customFormat="false" ht="12.75" hidden="false" customHeight="false" outlineLevel="0" collapsed="false">
      <c r="A135" s="5" t="n">
        <v>1317</v>
      </c>
      <c r="B135" s="6" t="s">
        <v>281</v>
      </c>
      <c r="C135" s="6" t="s">
        <v>12</v>
      </c>
      <c r="D135" s="6" t="s">
        <v>282</v>
      </c>
      <c r="E135" s="6" t="s">
        <v>14</v>
      </c>
      <c r="F135" s="7" t="n">
        <v>40103.473934845</v>
      </c>
      <c r="G135" s="7" t="n">
        <v>40103.474</v>
      </c>
      <c r="H135" s="6" t="s">
        <v>15</v>
      </c>
      <c r="I135" s="0" t="n">
        <v>4</v>
      </c>
      <c r="J135" s="1" t="n">
        <f aca="false">CONVERT(G135,"m^2","ha")</f>
        <v>4.0103474</v>
      </c>
      <c r="K135" s="0" t="b">
        <f aca="false">IF(J135&gt;(I135*2),((ROUNDDOWN(J135/I135,0))-1))</f>
        <v>0</v>
      </c>
    </row>
    <row r="136" customFormat="false" ht="12.75" hidden="false" customHeight="false" outlineLevel="0" collapsed="false">
      <c r="A136" s="5" t="n">
        <v>1319</v>
      </c>
      <c r="B136" s="6" t="s">
        <v>283</v>
      </c>
      <c r="C136" s="6" t="s">
        <v>12</v>
      </c>
      <c r="D136" s="6" t="s">
        <v>284</v>
      </c>
      <c r="E136" s="6" t="s">
        <v>14</v>
      </c>
      <c r="F136" s="7" t="n">
        <v>46298.48876128</v>
      </c>
      <c r="G136" s="7" t="n">
        <v>46298.489</v>
      </c>
      <c r="H136" s="6" t="s">
        <v>15</v>
      </c>
      <c r="I136" s="0" t="n">
        <v>4</v>
      </c>
      <c r="J136" s="1" t="n">
        <f aca="false">CONVERT(G136,"m^2","ha")</f>
        <v>4.6298489</v>
      </c>
      <c r="K136" s="0" t="b">
        <f aca="false">IF(J136&gt;(I136*2),((ROUNDDOWN(J136/I136,0))-1))</f>
        <v>0</v>
      </c>
    </row>
    <row r="137" customFormat="false" ht="12.75" hidden="false" customHeight="false" outlineLevel="0" collapsed="false">
      <c r="A137" s="5" t="n">
        <v>1326</v>
      </c>
      <c r="B137" s="6" t="s">
        <v>285</v>
      </c>
      <c r="C137" s="6" t="s">
        <v>89</v>
      </c>
      <c r="D137" s="6" t="s">
        <v>286</v>
      </c>
      <c r="E137" s="6" t="s">
        <v>14</v>
      </c>
      <c r="F137" s="7" t="n">
        <v>260.19821557</v>
      </c>
      <c r="G137" s="7" t="n">
        <v>261.878</v>
      </c>
      <c r="H137" s="6" t="s">
        <v>15</v>
      </c>
      <c r="I137" s="0" t="n">
        <v>4</v>
      </c>
      <c r="J137" s="1" t="n">
        <f aca="false">CONVERT(G137,"m^2","ha")</f>
        <v>0.0261878</v>
      </c>
      <c r="K137" s="0" t="b">
        <f aca="false">IF(J137&gt;(I137*2),((ROUNDDOWN(J137/I137,0))-1))</f>
        <v>0</v>
      </c>
    </row>
    <row r="138" customFormat="false" ht="12.75" hidden="false" customHeight="false" outlineLevel="0" collapsed="false">
      <c r="A138" s="5" t="n">
        <v>1327</v>
      </c>
      <c r="B138" s="6" t="s">
        <v>287</v>
      </c>
      <c r="C138" s="6" t="s">
        <v>12</v>
      </c>
      <c r="D138" s="6" t="s">
        <v>288</v>
      </c>
      <c r="E138" s="6" t="s">
        <v>14</v>
      </c>
      <c r="F138" s="7" t="n">
        <v>39615.065407775</v>
      </c>
      <c r="G138" s="7" t="n">
        <v>39616.242</v>
      </c>
      <c r="H138" s="6" t="s">
        <v>15</v>
      </c>
      <c r="I138" s="0" t="n">
        <v>4</v>
      </c>
      <c r="J138" s="1" t="n">
        <f aca="false">CONVERT(G138,"m^2","ha")</f>
        <v>3.9616242</v>
      </c>
      <c r="K138" s="0" t="b">
        <f aca="false">IF(J138&gt;(I138*2),((ROUNDDOWN(J138/I138,0))-1))</f>
        <v>0</v>
      </c>
    </row>
    <row r="139" customFormat="false" ht="12.75" hidden="false" customHeight="false" outlineLevel="0" collapsed="false">
      <c r="A139" s="5" t="n">
        <v>1380</v>
      </c>
      <c r="B139" s="6" t="s">
        <v>289</v>
      </c>
      <c r="C139" s="6" t="s">
        <v>12</v>
      </c>
      <c r="D139" s="6" t="s">
        <v>290</v>
      </c>
      <c r="E139" s="6" t="s">
        <v>14</v>
      </c>
      <c r="F139" s="7" t="n">
        <v>33827.992503685</v>
      </c>
      <c r="G139" s="7" t="n">
        <v>33827.993</v>
      </c>
      <c r="H139" s="6" t="s">
        <v>15</v>
      </c>
      <c r="I139" s="0" t="n">
        <v>4</v>
      </c>
      <c r="J139" s="1" t="n">
        <f aca="false">CONVERT(G139,"m^2","ha")</f>
        <v>3.3827993</v>
      </c>
      <c r="K139" s="0" t="b">
        <f aca="false">IF(J139&gt;(I139*2),((ROUNDDOWN(J139/I139,0))-1))</f>
        <v>0</v>
      </c>
    </row>
    <row r="140" customFormat="false" ht="12.75" hidden="false" customHeight="false" outlineLevel="0" collapsed="false">
      <c r="A140" s="5" t="n">
        <v>1381</v>
      </c>
      <c r="B140" s="6" t="s">
        <v>291</v>
      </c>
      <c r="C140" s="6" t="s">
        <v>12</v>
      </c>
      <c r="D140" s="6" t="s">
        <v>292</v>
      </c>
      <c r="E140" s="6" t="s">
        <v>14</v>
      </c>
      <c r="F140" s="7" t="n">
        <v>60724.53871031</v>
      </c>
      <c r="G140" s="7" t="n">
        <v>60724.539</v>
      </c>
      <c r="H140" s="6" t="s">
        <v>15</v>
      </c>
      <c r="I140" s="0" t="n">
        <v>4</v>
      </c>
      <c r="J140" s="1" t="n">
        <f aca="false">CONVERT(G140,"m^2","ha")</f>
        <v>6.0724539</v>
      </c>
      <c r="K140" s="0" t="b">
        <f aca="false">IF(J140&gt;(I140*2),((ROUNDDOWN(J140/I140,0))-1))</f>
        <v>0</v>
      </c>
    </row>
    <row r="141" customFormat="false" ht="12.75" hidden="false" customHeight="false" outlineLevel="0" collapsed="false">
      <c r="A141" s="5" t="n">
        <v>1382</v>
      </c>
      <c r="B141" s="6" t="s">
        <v>293</v>
      </c>
      <c r="C141" s="6" t="s">
        <v>12</v>
      </c>
      <c r="D141" s="6" t="s">
        <v>294</v>
      </c>
      <c r="E141" s="6" t="s">
        <v>14</v>
      </c>
      <c r="F141" s="7" t="n">
        <v>121801.79591375</v>
      </c>
      <c r="G141" s="7" t="n">
        <v>121805.476</v>
      </c>
      <c r="H141" s="6" t="s">
        <v>15</v>
      </c>
      <c r="I141" s="0" t="n">
        <v>4</v>
      </c>
      <c r="J141" s="1" t="n">
        <f aca="false">CONVERT(G141,"m^2","ha")</f>
        <v>12.1805476</v>
      </c>
      <c r="K141" s="0" t="n">
        <f aca="false">IF(J141&gt;(I141*2),((ROUNDDOWN(J141/I141,0))-1))</f>
        <v>2</v>
      </c>
    </row>
    <row r="142" customFormat="false" ht="12.75" hidden="false" customHeight="false" outlineLevel="0" collapsed="false">
      <c r="A142" s="5" t="n">
        <v>1397</v>
      </c>
      <c r="B142" s="6" t="s">
        <v>295</v>
      </c>
      <c r="C142" s="6" t="s">
        <v>12</v>
      </c>
      <c r="D142" s="6" t="s">
        <v>296</v>
      </c>
      <c r="E142" s="6" t="s">
        <v>14</v>
      </c>
      <c r="F142" s="7" t="n">
        <v>446260.89808701</v>
      </c>
      <c r="G142" s="7" t="n">
        <v>446261.484</v>
      </c>
      <c r="H142" s="6" t="s">
        <v>15</v>
      </c>
      <c r="I142" s="0" t="n">
        <v>4</v>
      </c>
      <c r="J142" s="1" t="n">
        <f aca="false">CONVERT(G142,"m^2","ha")</f>
        <v>44.6261484</v>
      </c>
      <c r="K142" s="0" t="n">
        <f aca="false">IF(J142&gt;(I142*2),((ROUNDDOWN(J142/I142,0))-1))</f>
        <v>10</v>
      </c>
    </row>
    <row r="143" customFormat="false" ht="12.75" hidden="false" customHeight="false" outlineLevel="0" collapsed="false">
      <c r="A143" s="5" t="n">
        <v>1398</v>
      </c>
      <c r="B143" s="6" t="s">
        <v>297</v>
      </c>
      <c r="C143" s="6" t="s">
        <v>12</v>
      </c>
      <c r="D143" s="6" t="s">
        <v>298</v>
      </c>
      <c r="E143" s="6" t="s">
        <v>14</v>
      </c>
      <c r="F143" s="7" t="n">
        <v>40099.874736195</v>
      </c>
      <c r="G143" s="7" t="n">
        <v>40099.875</v>
      </c>
      <c r="H143" s="6" t="s">
        <v>15</v>
      </c>
      <c r="I143" s="0" t="n">
        <v>4</v>
      </c>
      <c r="J143" s="1" t="n">
        <f aca="false">CONVERT(G143,"m^2","ha")</f>
        <v>4.0099875</v>
      </c>
      <c r="K143" s="0" t="b">
        <f aca="false">IF(J143&gt;(I143*2),((ROUNDDOWN(J143/I143,0))-1))</f>
        <v>0</v>
      </c>
    </row>
    <row r="144" customFormat="false" ht="12.75" hidden="false" customHeight="false" outlineLevel="0" collapsed="false">
      <c r="A144" s="5" t="n">
        <v>1399</v>
      </c>
      <c r="B144" s="6" t="s">
        <v>299</v>
      </c>
      <c r="C144" s="6" t="s">
        <v>12</v>
      </c>
      <c r="D144" s="6" t="s">
        <v>300</v>
      </c>
      <c r="E144" s="6" t="s">
        <v>14</v>
      </c>
      <c r="F144" s="7" t="n">
        <v>40172.92817411</v>
      </c>
      <c r="G144" s="7" t="n">
        <v>40172.928</v>
      </c>
      <c r="H144" s="6" t="s">
        <v>15</v>
      </c>
      <c r="I144" s="0" t="n">
        <v>4</v>
      </c>
      <c r="J144" s="1" t="n">
        <f aca="false">CONVERT(G144,"m^2","ha")</f>
        <v>4.0172928</v>
      </c>
      <c r="K144" s="0" t="b">
        <f aca="false">IF(J144&gt;(I144*2),((ROUNDDOWN(J144/I144,0))-1))</f>
        <v>0</v>
      </c>
    </row>
    <row r="145" customFormat="false" ht="12.75" hidden="false" customHeight="false" outlineLevel="0" collapsed="false">
      <c r="A145" s="5" t="n">
        <v>1400</v>
      </c>
      <c r="B145" s="6" t="s">
        <v>301</v>
      </c>
      <c r="C145" s="6" t="s">
        <v>12</v>
      </c>
      <c r="D145" s="6" t="s">
        <v>302</v>
      </c>
      <c r="E145" s="6" t="s">
        <v>14</v>
      </c>
      <c r="F145" s="7" t="n">
        <v>40301.745707905</v>
      </c>
      <c r="G145" s="7" t="n">
        <v>40301.565</v>
      </c>
      <c r="H145" s="6" t="s">
        <v>15</v>
      </c>
      <c r="I145" s="0" t="n">
        <v>4</v>
      </c>
      <c r="J145" s="1" t="n">
        <f aca="false">CONVERT(G145,"m^2","ha")</f>
        <v>4.0301565</v>
      </c>
      <c r="K145" s="0" t="b">
        <f aca="false">IF(J145&gt;(I145*2),((ROUNDDOWN(J145/I145,0))-1))</f>
        <v>0</v>
      </c>
    </row>
    <row r="146" customFormat="false" ht="12.75" hidden="false" customHeight="false" outlineLevel="0" collapsed="false">
      <c r="A146" s="5" t="n">
        <v>1401</v>
      </c>
      <c r="B146" s="6" t="s">
        <v>303</v>
      </c>
      <c r="C146" s="6" t="s">
        <v>12</v>
      </c>
      <c r="D146" s="6" t="s">
        <v>304</v>
      </c>
      <c r="E146" s="6" t="s">
        <v>14</v>
      </c>
      <c r="F146" s="7" t="n">
        <v>39882.66366519</v>
      </c>
      <c r="G146" s="7" t="n">
        <v>39883.377</v>
      </c>
      <c r="H146" s="6" t="s">
        <v>15</v>
      </c>
      <c r="I146" s="0" t="n">
        <v>4</v>
      </c>
      <c r="J146" s="1" t="n">
        <f aca="false">CONVERT(G146,"m^2","ha")</f>
        <v>3.9883377</v>
      </c>
      <c r="K146" s="0" t="b">
        <f aca="false">IF(J146&gt;(I146*2),((ROUNDDOWN(J146/I146,0))-1))</f>
        <v>0</v>
      </c>
    </row>
    <row r="147" customFormat="false" ht="12.75" hidden="false" customHeight="false" outlineLevel="0" collapsed="false">
      <c r="A147" s="5" t="n">
        <v>1402</v>
      </c>
      <c r="B147" s="6" t="s">
        <v>305</v>
      </c>
      <c r="C147" s="6" t="s">
        <v>12</v>
      </c>
      <c r="D147" s="6" t="s">
        <v>306</v>
      </c>
      <c r="E147" s="6" t="s">
        <v>14</v>
      </c>
      <c r="F147" s="7" t="n">
        <v>40453.218992765</v>
      </c>
      <c r="G147" s="7" t="n">
        <v>40454.114</v>
      </c>
      <c r="H147" s="6" t="s">
        <v>15</v>
      </c>
      <c r="I147" s="0" t="n">
        <v>4</v>
      </c>
      <c r="J147" s="1" t="n">
        <f aca="false">CONVERT(G147,"m^2","ha")</f>
        <v>4.0454114</v>
      </c>
      <c r="K147" s="0" t="b">
        <f aca="false">IF(J147&gt;(I147*2),((ROUNDDOWN(J147/I147,0))-1))</f>
        <v>0</v>
      </c>
    </row>
    <row r="148" customFormat="false" ht="12.75" hidden="false" customHeight="false" outlineLevel="0" collapsed="false">
      <c r="A148" s="5" t="n">
        <v>1404</v>
      </c>
      <c r="B148" s="6" t="s">
        <v>307</v>
      </c>
      <c r="C148" s="6" t="s">
        <v>12</v>
      </c>
      <c r="D148" s="6" t="s">
        <v>308</v>
      </c>
      <c r="E148" s="6" t="s">
        <v>14</v>
      </c>
      <c r="F148" s="7" t="n">
        <v>41602.56061127</v>
      </c>
      <c r="G148" s="7" t="n">
        <v>41604.163</v>
      </c>
      <c r="H148" s="6" t="s">
        <v>15</v>
      </c>
      <c r="I148" s="0" t="n">
        <v>4</v>
      </c>
      <c r="J148" s="1" t="n">
        <f aca="false">CONVERT(G148,"m^2","ha")</f>
        <v>4.1604163</v>
      </c>
      <c r="K148" s="0" t="b">
        <f aca="false">IF(J148&gt;(I148*2),((ROUNDDOWN(J148/I148,0))-1))</f>
        <v>0</v>
      </c>
    </row>
    <row r="149" customFormat="false" ht="12.75" hidden="false" customHeight="false" outlineLevel="0" collapsed="false">
      <c r="A149" s="5" t="n">
        <v>1413</v>
      </c>
      <c r="B149" s="6" t="s">
        <v>309</v>
      </c>
      <c r="C149" s="6" t="s">
        <v>12</v>
      </c>
      <c r="D149" s="6" t="s">
        <v>310</v>
      </c>
      <c r="E149" s="6" t="s">
        <v>14</v>
      </c>
      <c r="F149" s="7" t="n">
        <v>217871.16329811</v>
      </c>
      <c r="G149" s="7" t="n">
        <v>217871.163</v>
      </c>
      <c r="H149" s="6" t="s">
        <v>15</v>
      </c>
      <c r="I149" s="0" t="n">
        <v>4</v>
      </c>
      <c r="J149" s="1" t="n">
        <f aca="false">CONVERT(G149,"m^2","ha")</f>
        <v>21.7871163</v>
      </c>
      <c r="K149" s="0" t="n">
        <f aca="false">IF(J149&gt;(I149*2),((ROUNDDOWN(J149/I149,0))-1))</f>
        <v>4</v>
      </c>
    </row>
    <row r="150" customFormat="false" ht="12.75" hidden="false" customHeight="false" outlineLevel="0" collapsed="false">
      <c r="A150" s="5" t="n">
        <v>1414</v>
      </c>
      <c r="B150" s="6" t="s">
        <v>311</v>
      </c>
      <c r="C150" s="6" t="s">
        <v>12</v>
      </c>
      <c r="D150" s="6" t="s">
        <v>312</v>
      </c>
      <c r="E150" s="6" t="s">
        <v>14</v>
      </c>
      <c r="F150" s="7" t="n">
        <v>7483.06005644</v>
      </c>
      <c r="G150" s="7" t="n">
        <v>7482.811</v>
      </c>
      <c r="H150" s="6" t="s">
        <v>15</v>
      </c>
      <c r="I150" s="0" t="n">
        <v>4</v>
      </c>
      <c r="J150" s="1" t="n">
        <f aca="false">CONVERT(G150,"m^2","ha")</f>
        <v>0.7482811</v>
      </c>
      <c r="K150" s="0" t="b">
        <f aca="false">IF(J150&gt;(I150*2),((ROUNDDOWN(J150/I150,0))-1))</f>
        <v>0</v>
      </c>
    </row>
    <row r="151" customFormat="false" ht="12.75" hidden="false" customHeight="false" outlineLevel="0" collapsed="false">
      <c r="A151" s="5" t="n">
        <v>1471</v>
      </c>
      <c r="B151" s="6" t="s">
        <v>313</v>
      </c>
      <c r="C151" s="6" t="s">
        <v>12</v>
      </c>
      <c r="D151" s="6" t="s">
        <v>314</v>
      </c>
      <c r="E151" s="6" t="s">
        <v>14</v>
      </c>
      <c r="F151" s="7" t="n">
        <v>40454.37450722</v>
      </c>
      <c r="G151" s="7" t="n">
        <v>40456.404</v>
      </c>
      <c r="H151" s="6" t="s">
        <v>15</v>
      </c>
      <c r="I151" s="0" t="n">
        <v>4</v>
      </c>
      <c r="J151" s="1" t="n">
        <f aca="false">CONVERT(G151,"m^2","ha")</f>
        <v>4.0456404</v>
      </c>
      <c r="K151" s="0" t="b">
        <f aca="false">IF(J151&gt;(I151*2),((ROUNDDOWN(J151/I151,0))-1))</f>
        <v>0</v>
      </c>
    </row>
    <row r="152" customFormat="false" ht="12.75" hidden="false" customHeight="false" outlineLevel="0" collapsed="false">
      <c r="A152" s="5" t="n">
        <v>1472</v>
      </c>
      <c r="B152" s="6" t="s">
        <v>315</v>
      </c>
      <c r="C152" s="6" t="s">
        <v>89</v>
      </c>
      <c r="D152" s="6" t="s">
        <v>316</v>
      </c>
      <c r="E152" s="6" t="s">
        <v>14</v>
      </c>
      <c r="F152" s="7" t="n">
        <v>2815.058904305</v>
      </c>
      <c r="G152" s="7" t="n">
        <v>2815.059</v>
      </c>
      <c r="H152" s="6" t="s">
        <v>15</v>
      </c>
      <c r="I152" s="0" t="n">
        <v>4</v>
      </c>
      <c r="J152" s="1" t="n">
        <f aca="false">CONVERT(G152,"m^2","ha")</f>
        <v>0.2815059</v>
      </c>
      <c r="K152" s="0" t="b">
        <f aca="false">IF(J152&gt;(I152*2),((ROUNDDOWN(J152/I152,0))-1))</f>
        <v>0</v>
      </c>
    </row>
    <row r="153" customFormat="false" ht="12.75" hidden="false" customHeight="false" outlineLevel="0" collapsed="false">
      <c r="A153" s="5" t="n">
        <v>1473</v>
      </c>
      <c r="B153" s="6" t="s">
        <v>317</v>
      </c>
      <c r="C153" s="6" t="s">
        <v>89</v>
      </c>
      <c r="D153" s="6" t="s">
        <v>318</v>
      </c>
      <c r="E153" s="6" t="s">
        <v>14</v>
      </c>
      <c r="F153" s="7" t="n">
        <v>5545.20519124</v>
      </c>
      <c r="G153" s="7" t="n">
        <v>5545.205</v>
      </c>
      <c r="H153" s="6" t="s">
        <v>15</v>
      </c>
      <c r="I153" s="0" t="n">
        <v>4</v>
      </c>
      <c r="J153" s="1" t="n">
        <f aca="false">CONVERT(G153,"m^2","ha")</f>
        <v>0.5545205</v>
      </c>
      <c r="K153" s="0" t="b">
        <f aca="false">IF(J153&gt;(I153*2),((ROUNDDOWN(J153/I153,0))-1))</f>
        <v>0</v>
      </c>
    </row>
    <row r="154" customFormat="false" ht="12.75" hidden="false" customHeight="false" outlineLevel="0" collapsed="false">
      <c r="A154" s="5" t="n">
        <v>1480</v>
      </c>
      <c r="B154" s="6" t="s">
        <v>319</v>
      </c>
      <c r="C154" s="6" t="s">
        <v>12</v>
      </c>
      <c r="D154" s="6" t="s">
        <v>320</v>
      </c>
      <c r="E154" s="6" t="s">
        <v>14</v>
      </c>
      <c r="F154" s="7" t="n">
        <v>1680.798722735</v>
      </c>
      <c r="G154" s="7" t="n">
        <v>1680.799</v>
      </c>
      <c r="H154" s="6" t="s">
        <v>15</v>
      </c>
      <c r="I154" s="0" t="n">
        <v>4</v>
      </c>
      <c r="J154" s="1" t="n">
        <f aca="false">CONVERT(G154,"m^2","ha")</f>
        <v>0.1680799</v>
      </c>
      <c r="K154" s="0" t="b">
        <f aca="false">IF(J154&gt;(I154*2),((ROUNDDOWN(J154/I154,0))-1))</f>
        <v>0</v>
      </c>
    </row>
    <row r="155" customFormat="false" ht="12.75" hidden="false" customHeight="false" outlineLevel="0" collapsed="false">
      <c r="A155" s="5" t="n">
        <v>1671</v>
      </c>
      <c r="B155" s="6" t="s">
        <v>321</v>
      </c>
      <c r="C155" s="6" t="s">
        <v>12</v>
      </c>
      <c r="D155" s="6" t="s">
        <v>322</v>
      </c>
      <c r="E155" s="6" t="s">
        <v>14</v>
      </c>
      <c r="F155" s="7" t="n">
        <v>31124.743054155</v>
      </c>
      <c r="G155" s="7" t="n">
        <v>31124.743</v>
      </c>
      <c r="H155" s="6" t="s">
        <v>15</v>
      </c>
      <c r="I155" s="0" t="n">
        <v>4</v>
      </c>
      <c r="J155" s="1" t="n">
        <f aca="false">CONVERT(G155,"m^2","ha")</f>
        <v>3.1124743</v>
      </c>
      <c r="K155" s="0" t="b">
        <f aca="false">IF(J155&gt;(I155*2),((ROUNDDOWN(J155/I155,0))-1))</f>
        <v>0</v>
      </c>
    </row>
    <row r="156" customFormat="false" ht="12.75" hidden="false" customHeight="false" outlineLevel="0" collapsed="false">
      <c r="A156" s="5" t="n">
        <v>1753</v>
      </c>
      <c r="B156" s="6" t="s">
        <v>323</v>
      </c>
      <c r="C156" s="6" t="s">
        <v>12</v>
      </c>
      <c r="D156" s="6" t="s">
        <v>324</v>
      </c>
      <c r="E156" s="6" t="s">
        <v>14</v>
      </c>
      <c r="F156" s="7" t="n">
        <v>133978.97364673</v>
      </c>
      <c r="G156" s="7" t="n">
        <v>133978.974</v>
      </c>
      <c r="H156" s="6" t="s">
        <v>15</v>
      </c>
      <c r="I156" s="0" t="n">
        <v>4</v>
      </c>
      <c r="J156" s="1" t="n">
        <f aca="false">CONVERT(G156,"m^2","ha")</f>
        <v>13.3978974</v>
      </c>
      <c r="K156" s="0" t="n">
        <f aca="false">IF(J156&gt;(I156*2),((ROUNDDOWN(J156/I156,0))-1))</f>
        <v>2</v>
      </c>
    </row>
    <row r="157" customFormat="false" ht="12.75" hidden="false" customHeight="false" outlineLevel="0" collapsed="false">
      <c r="A157" s="5" t="n">
        <v>1847</v>
      </c>
      <c r="B157" s="6" t="s">
        <v>325</v>
      </c>
      <c r="C157" s="6" t="s">
        <v>12</v>
      </c>
      <c r="D157" s="6" t="s">
        <v>326</v>
      </c>
      <c r="E157" s="6" t="s">
        <v>14</v>
      </c>
      <c r="F157" s="7" t="n">
        <v>3343.376152385</v>
      </c>
      <c r="G157" s="7" t="n">
        <v>3343.509</v>
      </c>
      <c r="H157" s="6" t="s">
        <v>15</v>
      </c>
      <c r="I157" s="0" t="n">
        <v>4</v>
      </c>
      <c r="J157" s="1" t="n">
        <f aca="false">CONVERT(G157,"m^2","ha")</f>
        <v>0.3343509</v>
      </c>
      <c r="K157" s="0" t="b">
        <f aca="false">IF(J157&gt;(I157*2),((ROUNDDOWN(J157/I157,0))-1))</f>
        <v>0</v>
      </c>
    </row>
    <row r="158" customFormat="false" ht="12.75" hidden="false" customHeight="false" outlineLevel="0" collapsed="false">
      <c r="A158" s="5" t="n">
        <v>1900</v>
      </c>
      <c r="B158" s="6" t="s">
        <v>327</v>
      </c>
      <c r="C158" s="6" t="s">
        <v>12</v>
      </c>
      <c r="D158" s="6" t="s">
        <v>328</v>
      </c>
      <c r="E158" s="6" t="s">
        <v>14</v>
      </c>
      <c r="F158" s="7" t="n">
        <v>23599.30263512</v>
      </c>
      <c r="G158" s="7" t="n">
        <v>23599.303</v>
      </c>
      <c r="H158" s="6" t="s">
        <v>15</v>
      </c>
      <c r="I158" s="0" t="n">
        <v>4</v>
      </c>
      <c r="J158" s="1" t="n">
        <f aca="false">CONVERT(G158,"m^2","ha")</f>
        <v>2.3599303</v>
      </c>
      <c r="K158" s="0" t="b">
        <f aca="false">IF(J158&gt;(I158*2),((ROUNDDOWN(J158/I158,0))-1))</f>
        <v>0</v>
      </c>
    </row>
    <row r="159" customFormat="false" ht="12.75" hidden="false" customHeight="false" outlineLevel="0" collapsed="false">
      <c r="A159" s="5" t="n">
        <v>1936</v>
      </c>
      <c r="B159" s="6" t="s">
        <v>329</v>
      </c>
      <c r="C159" s="6" t="s">
        <v>12</v>
      </c>
      <c r="D159" s="6" t="s">
        <v>330</v>
      </c>
      <c r="E159" s="6" t="s">
        <v>14</v>
      </c>
      <c r="F159" s="7" t="n">
        <v>42716.02511997</v>
      </c>
      <c r="G159" s="7" t="n">
        <v>42711.641</v>
      </c>
      <c r="H159" s="6" t="s">
        <v>15</v>
      </c>
      <c r="I159" s="0" t="n">
        <v>4</v>
      </c>
      <c r="J159" s="1" t="n">
        <f aca="false">CONVERT(G159,"m^2","ha")</f>
        <v>4.2711641</v>
      </c>
      <c r="K159" s="0" t="b">
        <f aca="false">IF(J159&gt;(I159*2),((ROUNDDOWN(J159/I159,0))-1))</f>
        <v>0</v>
      </c>
    </row>
    <row r="160" customFormat="false" ht="12.75" hidden="false" customHeight="false" outlineLevel="0" collapsed="false">
      <c r="A160" s="5" t="n">
        <v>1959</v>
      </c>
      <c r="B160" s="6" t="s">
        <v>331</v>
      </c>
      <c r="C160" s="6" t="s">
        <v>12</v>
      </c>
      <c r="D160" s="6" t="s">
        <v>332</v>
      </c>
      <c r="E160" s="6" t="s">
        <v>14</v>
      </c>
      <c r="F160" s="7" t="n">
        <v>1531.370981895</v>
      </c>
      <c r="G160" s="7" t="n">
        <v>1531.371</v>
      </c>
      <c r="H160" s="6" t="s">
        <v>15</v>
      </c>
      <c r="I160" s="0" t="n">
        <v>4</v>
      </c>
      <c r="J160" s="1" t="n">
        <f aca="false">CONVERT(G160,"m^2","ha")</f>
        <v>0.1531371</v>
      </c>
      <c r="K160" s="0" t="b">
        <f aca="false">IF(J160&gt;(I160*2),((ROUNDDOWN(J160/I160,0))-1))</f>
        <v>0</v>
      </c>
    </row>
    <row r="161" customFormat="false" ht="12.75" hidden="false" customHeight="false" outlineLevel="0" collapsed="false">
      <c r="A161" s="5" t="n">
        <v>1960</v>
      </c>
      <c r="B161" s="6" t="s">
        <v>333</v>
      </c>
      <c r="C161" s="6" t="s">
        <v>12</v>
      </c>
      <c r="D161" s="6" t="s">
        <v>334</v>
      </c>
      <c r="E161" s="6" t="s">
        <v>14</v>
      </c>
      <c r="F161" s="7" t="n">
        <v>1458.53053618</v>
      </c>
      <c r="G161" s="7" t="n">
        <v>1458.531</v>
      </c>
      <c r="H161" s="6" t="s">
        <v>15</v>
      </c>
      <c r="I161" s="0" t="n">
        <v>4</v>
      </c>
      <c r="J161" s="1" t="n">
        <f aca="false">CONVERT(G161,"m^2","ha")</f>
        <v>0.1458531</v>
      </c>
      <c r="K161" s="0" t="b">
        <f aca="false">IF(J161&gt;(I161*2),((ROUNDDOWN(J161/I161,0))-1))</f>
        <v>0</v>
      </c>
    </row>
    <row r="162" customFormat="false" ht="12.75" hidden="false" customHeight="false" outlineLevel="0" collapsed="false">
      <c r="A162" s="5" t="n">
        <v>1961</v>
      </c>
      <c r="B162" s="6" t="s">
        <v>335</v>
      </c>
      <c r="C162" s="6" t="s">
        <v>12</v>
      </c>
      <c r="D162" s="6" t="s">
        <v>336</v>
      </c>
      <c r="E162" s="6" t="s">
        <v>14</v>
      </c>
      <c r="F162" s="7" t="n">
        <v>1431.37808712</v>
      </c>
      <c r="G162" s="7" t="n">
        <v>1431.378</v>
      </c>
      <c r="H162" s="6" t="s">
        <v>15</v>
      </c>
      <c r="I162" s="0" t="n">
        <v>4</v>
      </c>
      <c r="J162" s="1" t="n">
        <f aca="false">CONVERT(G162,"m^2","ha")</f>
        <v>0.1431378</v>
      </c>
      <c r="K162" s="0" t="b">
        <f aca="false">IF(J162&gt;(I162*2),((ROUNDDOWN(J162/I162,0))-1))</f>
        <v>0</v>
      </c>
    </row>
    <row r="163" customFormat="false" ht="12.75" hidden="false" customHeight="false" outlineLevel="0" collapsed="false">
      <c r="A163" s="5" t="n">
        <v>1962</v>
      </c>
      <c r="B163" s="6" t="s">
        <v>337</v>
      </c>
      <c r="C163" s="6" t="s">
        <v>12</v>
      </c>
      <c r="D163" s="6" t="s">
        <v>338</v>
      </c>
      <c r="E163" s="6" t="s">
        <v>14</v>
      </c>
      <c r="F163" s="7" t="n">
        <v>1786.69425666</v>
      </c>
      <c r="G163" s="7" t="n">
        <v>1787.332</v>
      </c>
      <c r="H163" s="6" t="s">
        <v>15</v>
      </c>
      <c r="I163" s="0" t="n">
        <v>4</v>
      </c>
      <c r="J163" s="1" t="n">
        <f aca="false">CONVERT(G163,"m^2","ha")</f>
        <v>0.1787332</v>
      </c>
      <c r="K163" s="0" t="b">
        <f aca="false">IF(J163&gt;(I163*2),((ROUNDDOWN(J163/I163,0))-1))</f>
        <v>0</v>
      </c>
    </row>
    <row r="164" customFormat="false" ht="12.75" hidden="false" customHeight="false" outlineLevel="0" collapsed="false">
      <c r="A164" s="5" t="n">
        <v>1963</v>
      </c>
      <c r="B164" s="6" t="s">
        <v>339</v>
      </c>
      <c r="C164" s="6" t="s">
        <v>12</v>
      </c>
      <c r="D164" s="6" t="s">
        <v>340</v>
      </c>
      <c r="E164" s="6" t="s">
        <v>14</v>
      </c>
      <c r="F164" s="7" t="n">
        <v>1405.46185863</v>
      </c>
      <c r="G164" s="7" t="n">
        <v>1405.462</v>
      </c>
      <c r="H164" s="6" t="s">
        <v>15</v>
      </c>
      <c r="I164" s="0" t="n">
        <v>4</v>
      </c>
      <c r="J164" s="1" t="n">
        <f aca="false">CONVERT(G164,"m^2","ha")</f>
        <v>0.1405462</v>
      </c>
      <c r="K164" s="0" t="b">
        <f aca="false">IF(J164&gt;(I164*2),((ROUNDDOWN(J164/I164,0))-1))</f>
        <v>0</v>
      </c>
    </row>
    <row r="165" customFormat="false" ht="12.75" hidden="false" customHeight="false" outlineLevel="0" collapsed="false">
      <c r="A165" s="5" t="n">
        <v>1964</v>
      </c>
      <c r="B165" s="6" t="s">
        <v>341</v>
      </c>
      <c r="C165" s="6" t="s">
        <v>12</v>
      </c>
      <c r="D165" s="6" t="s">
        <v>342</v>
      </c>
      <c r="E165" s="6" t="s">
        <v>14</v>
      </c>
      <c r="F165" s="7" t="n">
        <v>4106.913182855</v>
      </c>
      <c r="G165" s="7" t="n">
        <v>4106.913</v>
      </c>
      <c r="H165" s="6" t="s">
        <v>15</v>
      </c>
      <c r="I165" s="0" t="n">
        <v>4</v>
      </c>
      <c r="J165" s="1" t="n">
        <f aca="false">CONVERT(G165,"m^2","ha")</f>
        <v>0.4106913</v>
      </c>
      <c r="K165" s="0" t="b">
        <f aca="false">IF(J165&gt;(I165*2),((ROUNDDOWN(J165/I165,0))-1))</f>
        <v>0</v>
      </c>
    </row>
    <row r="166" customFormat="false" ht="12.75" hidden="false" customHeight="false" outlineLevel="0" collapsed="false">
      <c r="A166" s="5" t="n">
        <v>1993</v>
      </c>
      <c r="B166" s="6" t="s">
        <v>343</v>
      </c>
      <c r="C166" s="6" t="s">
        <v>12</v>
      </c>
      <c r="D166" s="6" t="s">
        <v>344</v>
      </c>
      <c r="E166" s="6" t="s">
        <v>14</v>
      </c>
      <c r="F166" s="7" t="n">
        <v>27800.24308723</v>
      </c>
      <c r="G166" s="7" t="n">
        <v>27800.243</v>
      </c>
      <c r="H166" s="6" t="s">
        <v>15</v>
      </c>
      <c r="I166" s="0" t="n">
        <v>4</v>
      </c>
      <c r="J166" s="1" t="n">
        <f aca="false">CONVERT(G166,"m^2","ha")</f>
        <v>2.7800243</v>
      </c>
      <c r="K166" s="0" t="b">
        <f aca="false">IF(J166&gt;(I166*2),((ROUNDDOWN(J166/I166,0))-1))</f>
        <v>0</v>
      </c>
    </row>
    <row r="167" customFormat="false" ht="12.75" hidden="false" customHeight="false" outlineLevel="0" collapsed="false">
      <c r="A167" s="5" t="n">
        <v>1998</v>
      </c>
      <c r="B167" s="6" t="s">
        <v>345</v>
      </c>
      <c r="C167" s="6" t="s">
        <v>89</v>
      </c>
      <c r="D167" s="6" t="s">
        <v>346</v>
      </c>
      <c r="E167" s="6" t="s">
        <v>14</v>
      </c>
      <c r="F167" s="7" t="n">
        <v>10598.487114025</v>
      </c>
      <c r="G167" s="7" t="n">
        <v>10598.487</v>
      </c>
      <c r="H167" s="6" t="s">
        <v>15</v>
      </c>
      <c r="I167" s="0" t="n">
        <v>4</v>
      </c>
      <c r="J167" s="1" t="n">
        <f aca="false">CONVERT(G167,"m^2","ha")</f>
        <v>1.0598487</v>
      </c>
      <c r="K167" s="0" t="b">
        <f aca="false">IF(J167&gt;(I167*2),((ROUNDDOWN(J167/I167,0))-1))</f>
        <v>0</v>
      </c>
    </row>
    <row r="168" customFormat="false" ht="12.75" hidden="false" customHeight="false" outlineLevel="0" collapsed="false">
      <c r="A168" s="5" t="n">
        <v>2059</v>
      </c>
      <c r="B168" s="6" t="s">
        <v>347</v>
      </c>
      <c r="C168" s="6" t="s">
        <v>89</v>
      </c>
      <c r="D168" s="6" t="s">
        <v>348</v>
      </c>
      <c r="E168" s="6" t="s">
        <v>14</v>
      </c>
      <c r="F168" s="7" t="n">
        <v>10891.881517375</v>
      </c>
      <c r="G168" s="7" t="n">
        <v>10891.882</v>
      </c>
      <c r="H168" s="6" t="s">
        <v>15</v>
      </c>
      <c r="I168" s="0" t="n">
        <v>4</v>
      </c>
      <c r="J168" s="1" t="n">
        <f aca="false">CONVERT(G168,"m^2","ha")</f>
        <v>1.0891882</v>
      </c>
      <c r="K168" s="0" t="b">
        <f aca="false">IF(J168&gt;(I168*2),((ROUNDDOWN(J168/I168,0))-1))</f>
        <v>0</v>
      </c>
    </row>
    <row r="169" customFormat="false" ht="12.75" hidden="false" customHeight="false" outlineLevel="0" collapsed="false">
      <c r="A169" s="5" t="n">
        <v>2067</v>
      </c>
      <c r="B169" s="6" t="s">
        <v>349</v>
      </c>
      <c r="C169" s="6" t="s">
        <v>89</v>
      </c>
      <c r="D169" s="6" t="s">
        <v>350</v>
      </c>
      <c r="E169" s="6" t="s">
        <v>14</v>
      </c>
      <c r="F169" s="7" t="n">
        <v>10206.21190151</v>
      </c>
      <c r="G169" s="7" t="n">
        <v>10206.212</v>
      </c>
      <c r="H169" s="6" t="s">
        <v>15</v>
      </c>
      <c r="I169" s="0" t="n">
        <v>4</v>
      </c>
      <c r="J169" s="1" t="n">
        <f aca="false">CONVERT(G169,"m^2","ha")</f>
        <v>1.0206212</v>
      </c>
      <c r="K169" s="0" t="b">
        <f aca="false">IF(J169&gt;(I169*2),((ROUNDDOWN(J169/I169,0))-1))</f>
        <v>0</v>
      </c>
    </row>
    <row r="170" customFormat="false" ht="12.75" hidden="false" customHeight="false" outlineLevel="0" collapsed="false">
      <c r="A170" s="5" t="n">
        <v>2076</v>
      </c>
      <c r="B170" s="6" t="s">
        <v>351</v>
      </c>
      <c r="C170" s="6" t="s">
        <v>89</v>
      </c>
      <c r="D170" s="6" t="s">
        <v>352</v>
      </c>
      <c r="E170" s="6" t="s">
        <v>14</v>
      </c>
      <c r="F170" s="7" t="n">
        <v>13189.0142313</v>
      </c>
      <c r="G170" s="7" t="n">
        <v>13189.014</v>
      </c>
      <c r="H170" s="6" t="s">
        <v>15</v>
      </c>
      <c r="I170" s="0" t="n">
        <v>4</v>
      </c>
      <c r="J170" s="1" t="n">
        <f aca="false">CONVERT(G170,"m^2","ha")</f>
        <v>1.3189014</v>
      </c>
      <c r="K170" s="0" t="b">
        <f aca="false">IF(J170&gt;(I170*2),((ROUNDDOWN(J170/I170,0))-1))</f>
        <v>0</v>
      </c>
    </row>
    <row r="171" customFormat="false" ht="12.75" hidden="false" customHeight="false" outlineLevel="0" collapsed="false">
      <c r="A171" s="5" t="n">
        <v>2079</v>
      </c>
      <c r="B171" s="6" t="s">
        <v>353</v>
      </c>
      <c r="C171" s="6" t="s">
        <v>89</v>
      </c>
      <c r="D171" s="6" t="s">
        <v>354</v>
      </c>
      <c r="E171" s="6" t="s">
        <v>14</v>
      </c>
      <c r="F171" s="7" t="n">
        <v>11445.191054585</v>
      </c>
      <c r="G171" s="7" t="n">
        <v>11445.191</v>
      </c>
      <c r="H171" s="6" t="s">
        <v>15</v>
      </c>
      <c r="I171" s="0" t="n">
        <v>4</v>
      </c>
      <c r="J171" s="1" t="n">
        <f aca="false">CONVERT(G171,"m^2","ha")</f>
        <v>1.1445191</v>
      </c>
      <c r="K171" s="0" t="b">
        <f aca="false">IF(J171&gt;(I171*2),((ROUNDDOWN(J171/I171,0))-1))</f>
        <v>0</v>
      </c>
    </row>
    <row r="172" customFormat="false" ht="12.75" hidden="false" customHeight="false" outlineLevel="0" collapsed="false">
      <c r="A172" s="5" t="n">
        <v>2093</v>
      </c>
      <c r="B172" s="6" t="s">
        <v>355</v>
      </c>
      <c r="C172" s="6" t="s">
        <v>89</v>
      </c>
      <c r="D172" s="6" t="s">
        <v>356</v>
      </c>
      <c r="E172" s="6" t="s">
        <v>14</v>
      </c>
      <c r="F172" s="7" t="n">
        <v>11633.479816875</v>
      </c>
      <c r="G172" s="7" t="n">
        <v>11633.48</v>
      </c>
      <c r="H172" s="6" t="s">
        <v>15</v>
      </c>
      <c r="I172" s="0" t="n">
        <v>4</v>
      </c>
      <c r="J172" s="1" t="n">
        <f aca="false">CONVERT(G172,"m^2","ha")</f>
        <v>1.163348</v>
      </c>
      <c r="K172" s="0" t="b">
        <f aca="false">IF(J172&gt;(I172*2),((ROUNDDOWN(J172/I172,0))-1))</f>
        <v>0</v>
      </c>
    </row>
    <row r="173" customFormat="false" ht="12.75" hidden="false" customHeight="false" outlineLevel="0" collapsed="false">
      <c r="A173" s="5" t="n">
        <v>2127</v>
      </c>
      <c r="B173" s="6" t="s">
        <v>357</v>
      </c>
      <c r="C173" s="6" t="s">
        <v>12</v>
      </c>
      <c r="D173" s="6" t="s">
        <v>358</v>
      </c>
      <c r="E173" s="6" t="s">
        <v>14</v>
      </c>
      <c r="F173" s="7" t="n">
        <v>39731.04191565</v>
      </c>
      <c r="G173" s="7" t="n">
        <v>39731.042</v>
      </c>
      <c r="H173" s="6" t="s">
        <v>15</v>
      </c>
      <c r="I173" s="0" t="n">
        <v>4</v>
      </c>
      <c r="J173" s="1" t="n">
        <f aca="false">CONVERT(G173,"m^2","ha")</f>
        <v>3.9731042</v>
      </c>
      <c r="K173" s="0" t="b">
        <f aca="false">IF(J173&gt;(I173*2),((ROUNDDOWN(J173/I173,0))-1))</f>
        <v>0</v>
      </c>
    </row>
    <row r="174" customFormat="false" ht="12.75" hidden="false" customHeight="false" outlineLevel="0" collapsed="false">
      <c r="A174" s="5" t="n">
        <v>2130</v>
      </c>
      <c r="B174" s="6" t="s">
        <v>359</v>
      </c>
      <c r="C174" s="6" t="s">
        <v>12</v>
      </c>
      <c r="D174" s="6" t="s">
        <v>360</v>
      </c>
      <c r="E174" s="6" t="s">
        <v>14</v>
      </c>
      <c r="F174" s="7" t="n">
        <v>280774.54947445</v>
      </c>
      <c r="G174" s="7" t="n">
        <v>280774.549</v>
      </c>
      <c r="H174" s="6" t="s">
        <v>15</v>
      </c>
      <c r="I174" s="0" t="n">
        <v>4</v>
      </c>
      <c r="J174" s="1" t="n">
        <f aca="false">CONVERT(G174,"m^2","ha")</f>
        <v>28.0774549</v>
      </c>
      <c r="K174" s="0" t="n">
        <f aca="false">IF(J174&gt;(I174*2),((ROUNDDOWN(J174/I174,0))-1))</f>
        <v>6</v>
      </c>
    </row>
    <row r="175" customFormat="false" ht="12.75" hidden="false" customHeight="false" outlineLevel="0" collapsed="false">
      <c r="A175" s="5" t="n">
        <v>2136</v>
      </c>
      <c r="B175" s="6" t="s">
        <v>361</v>
      </c>
      <c r="C175" s="6" t="s">
        <v>12</v>
      </c>
      <c r="D175" s="6" t="s">
        <v>362</v>
      </c>
      <c r="E175" s="6" t="s">
        <v>14</v>
      </c>
      <c r="F175" s="7" t="n">
        <v>191451.6932878</v>
      </c>
      <c r="G175" s="7" t="n">
        <v>191452.299</v>
      </c>
      <c r="H175" s="6" t="s">
        <v>15</v>
      </c>
      <c r="I175" s="0" t="n">
        <v>4</v>
      </c>
      <c r="J175" s="1" t="n">
        <f aca="false">CONVERT(G175,"m^2","ha")</f>
        <v>19.1452299</v>
      </c>
      <c r="K175" s="0" t="n">
        <f aca="false">IF(J175&gt;(I175*2),((ROUNDDOWN(J175/I175,0))-1))</f>
        <v>3</v>
      </c>
    </row>
    <row r="176" customFormat="false" ht="12.75" hidden="false" customHeight="false" outlineLevel="0" collapsed="false">
      <c r="A176" s="5" t="n">
        <v>2148</v>
      </c>
      <c r="B176" s="6" t="s">
        <v>363</v>
      </c>
      <c r="C176" s="6" t="s">
        <v>89</v>
      </c>
      <c r="D176" s="6" t="s">
        <v>364</v>
      </c>
      <c r="E176" s="6" t="s">
        <v>14</v>
      </c>
      <c r="F176" s="7" t="n">
        <v>133162.465808905</v>
      </c>
      <c r="G176" s="7" t="n">
        <v>133162.466</v>
      </c>
      <c r="H176" s="6" t="s">
        <v>15</v>
      </c>
      <c r="I176" s="0" t="n">
        <v>4</v>
      </c>
      <c r="J176" s="1" t="n">
        <f aca="false">CONVERT(G176,"m^2","ha")</f>
        <v>13.3162466</v>
      </c>
      <c r="K176" s="0" t="n">
        <f aca="false">IF(J176&gt;(I176*2),((ROUNDDOWN(J176/I176,0))-1))</f>
        <v>2</v>
      </c>
    </row>
    <row r="177" customFormat="false" ht="12.75" hidden="false" customHeight="false" outlineLevel="0" collapsed="false">
      <c r="A177" s="5" t="n">
        <v>2149</v>
      </c>
      <c r="B177" s="6" t="s">
        <v>365</v>
      </c>
      <c r="C177" s="6" t="s">
        <v>89</v>
      </c>
      <c r="D177" s="6" t="s">
        <v>366</v>
      </c>
      <c r="E177" s="6" t="s">
        <v>14</v>
      </c>
      <c r="F177" s="7" t="n">
        <v>20214.29296661</v>
      </c>
      <c r="G177" s="7" t="n">
        <v>20214.121</v>
      </c>
      <c r="H177" s="6" t="s">
        <v>15</v>
      </c>
      <c r="I177" s="0" t="n">
        <v>4</v>
      </c>
      <c r="J177" s="1" t="n">
        <f aca="false">CONVERT(G177,"m^2","ha")</f>
        <v>2.0214121</v>
      </c>
      <c r="K177" s="0" t="b">
        <f aca="false">IF(J177&gt;(I177*2),((ROUNDDOWN(J177/I177,0))-1))</f>
        <v>0</v>
      </c>
    </row>
    <row r="178" customFormat="false" ht="12.75" hidden="false" customHeight="false" outlineLevel="0" collapsed="false">
      <c r="A178" s="5" t="n">
        <v>2150</v>
      </c>
      <c r="B178" s="6" t="s">
        <v>367</v>
      </c>
      <c r="C178" s="6" t="s">
        <v>89</v>
      </c>
      <c r="D178" s="6" t="s">
        <v>368</v>
      </c>
      <c r="E178" s="6" t="s">
        <v>14</v>
      </c>
      <c r="F178" s="7" t="n">
        <v>20229.50503156</v>
      </c>
      <c r="G178" s="7" t="n">
        <v>20231.351</v>
      </c>
      <c r="H178" s="6" t="s">
        <v>15</v>
      </c>
      <c r="I178" s="0" t="n">
        <v>4</v>
      </c>
      <c r="J178" s="1" t="n">
        <f aca="false">CONVERT(G178,"m^2","ha")</f>
        <v>2.0231351</v>
      </c>
      <c r="K178" s="0" t="b">
        <f aca="false">IF(J178&gt;(I178*2),((ROUNDDOWN(J178/I178,0))-1))</f>
        <v>0</v>
      </c>
    </row>
    <row r="179" customFormat="false" ht="12.75" hidden="false" customHeight="false" outlineLevel="0" collapsed="false">
      <c r="A179" s="5" t="n">
        <v>2151</v>
      </c>
      <c r="B179" s="6" t="s">
        <v>369</v>
      </c>
      <c r="C179" s="6" t="s">
        <v>12</v>
      </c>
      <c r="D179" s="6" t="s">
        <v>370</v>
      </c>
      <c r="E179" s="6" t="s">
        <v>14</v>
      </c>
      <c r="F179" s="7" t="n">
        <v>40658.5697105</v>
      </c>
      <c r="G179" s="7" t="n">
        <v>40661.842</v>
      </c>
      <c r="H179" s="6" t="s">
        <v>15</v>
      </c>
      <c r="I179" s="0" t="n">
        <v>4</v>
      </c>
      <c r="J179" s="1" t="n">
        <f aca="false">CONVERT(G179,"m^2","ha")</f>
        <v>4.0661842</v>
      </c>
      <c r="K179" s="0" t="b">
        <f aca="false">IF(J179&gt;(I179*2),((ROUNDDOWN(J179/I179,0))-1))</f>
        <v>0</v>
      </c>
    </row>
    <row r="180" customFormat="false" ht="12.75" hidden="false" customHeight="false" outlineLevel="0" collapsed="false">
      <c r="A180" s="5" t="n">
        <v>2152</v>
      </c>
      <c r="B180" s="6" t="s">
        <v>371</v>
      </c>
      <c r="C180" s="6" t="s">
        <v>89</v>
      </c>
      <c r="D180" s="6" t="s">
        <v>372</v>
      </c>
      <c r="E180" s="6" t="s">
        <v>14</v>
      </c>
      <c r="F180" s="7" t="n">
        <v>20221.09164108</v>
      </c>
      <c r="G180" s="7" t="n">
        <v>20220.009</v>
      </c>
      <c r="H180" s="6" t="s">
        <v>15</v>
      </c>
      <c r="I180" s="0" t="n">
        <v>4</v>
      </c>
      <c r="J180" s="1" t="n">
        <f aca="false">CONVERT(G180,"m^2","ha")</f>
        <v>2.0220009</v>
      </c>
      <c r="K180" s="0" t="b">
        <f aca="false">IF(J180&gt;(I180*2),((ROUNDDOWN(J180/I180,0))-1))</f>
        <v>0</v>
      </c>
    </row>
    <row r="181" customFormat="false" ht="12.75" hidden="false" customHeight="false" outlineLevel="0" collapsed="false">
      <c r="A181" s="5" t="n">
        <v>2153</v>
      </c>
      <c r="B181" s="6" t="s">
        <v>373</v>
      </c>
      <c r="C181" s="6" t="s">
        <v>89</v>
      </c>
      <c r="D181" s="6" t="s">
        <v>374</v>
      </c>
      <c r="E181" s="6" t="s">
        <v>14</v>
      </c>
      <c r="F181" s="7" t="n">
        <v>32556.66398175</v>
      </c>
      <c r="G181" s="7" t="n">
        <v>32556.672</v>
      </c>
      <c r="H181" s="6" t="s">
        <v>15</v>
      </c>
      <c r="I181" s="0" t="n">
        <v>4</v>
      </c>
      <c r="J181" s="1" t="n">
        <f aca="false">CONVERT(G181,"m^2","ha")</f>
        <v>3.2556672</v>
      </c>
      <c r="K181" s="0" t="b">
        <f aca="false">IF(J181&gt;(I181*2),((ROUNDDOWN(J181/I181,0))-1))</f>
        <v>0</v>
      </c>
    </row>
    <row r="182" customFormat="false" ht="12.75" hidden="false" customHeight="false" outlineLevel="0" collapsed="false">
      <c r="A182" s="5" t="n">
        <v>2154</v>
      </c>
      <c r="B182" s="6" t="s">
        <v>375</v>
      </c>
      <c r="C182" s="6" t="s">
        <v>89</v>
      </c>
      <c r="D182" s="6" t="s">
        <v>376</v>
      </c>
      <c r="E182" s="6" t="s">
        <v>14</v>
      </c>
      <c r="F182" s="7" t="n">
        <v>20174.12589792</v>
      </c>
      <c r="G182" s="7" t="n">
        <v>20173.316</v>
      </c>
      <c r="H182" s="6" t="s">
        <v>15</v>
      </c>
      <c r="I182" s="0" t="n">
        <v>4</v>
      </c>
      <c r="J182" s="1" t="n">
        <f aca="false">CONVERT(G182,"m^2","ha")</f>
        <v>2.0173316</v>
      </c>
      <c r="K182" s="0" t="b">
        <f aca="false">IF(J182&gt;(I182*2),((ROUNDDOWN(J182/I182,0))-1))</f>
        <v>0</v>
      </c>
    </row>
    <row r="183" customFormat="false" ht="12.75" hidden="false" customHeight="false" outlineLevel="0" collapsed="false">
      <c r="A183" s="5" t="n">
        <v>2155</v>
      </c>
      <c r="B183" s="6" t="s">
        <v>377</v>
      </c>
      <c r="C183" s="6" t="s">
        <v>89</v>
      </c>
      <c r="D183" s="6" t="s">
        <v>378</v>
      </c>
      <c r="E183" s="6" t="s">
        <v>14</v>
      </c>
      <c r="F183" s="7" t="n">
        <v>20213.196792095</v>
      </c>
      <c r="G183" s="7" t="n">
        <v>20213.685</v>
      </c>
      <c r="H183" s="6" t="s">
        <v>15</v>
      </c>
      <c r="I183" s="0" t="n">
        <v>4</v>
      </c>
      <c r="J183" s="1" t="n">
        <f aca="false">CONVERT(G183,"m^2","ha")</f>
        <v>2.0213685</v>
      </c>
      <c r="K183" s="0" t="b">
        <f aca="false">IF(J183&gt;(I183*2),((ROUNDDOWN(J183/I183,0))-1))</f>
        <v>0</v>
      </c>
    </row>
    <row r="184" customFormat="false" ht="12.75" hidden="false" customHeight="false" outlineLevel="0" collapsed="false">
      <c r="A184" s="5" t="n">
        <v>2165</v>
      </c>
      <c r="B184" s="6" t="s">
        <v>379</v>
      </c>
      <c r="C184" s="6" t="s">
        <v>12</v>
      </c>
      <c r="D184" s="6" t="s">
        <v>380</v>
      </c>
      <c r="E184" s="6" t="s">
        <v>14</v>
      </c>
      <c r="F184" s="7" t="n">
        <v>190817.117184855</v>
      </c>
      <c r="G184" s="7" t="n">
        <v>190815.011</v>
      </c>
      <c r="H184" s="6" t="s">
        <v>15</v>
      </c>
      <c r="I184" s="0" t="n">
        <v>4</v>
      </c>
      <c r="J184" s="1" t="n">
        <f aca="false">CONVERT(G184,"m^2","ha")</f>
        <v>19.0815011</v>
      </c>
      <c r="K184" s="0" t="n">
        <f aca="false">IF(J184&gt;(I184*2),((ROUNDDOWN(J184/I184,0))-1))</f>
        <v>3</v>
      </c>
    </row>
    <row r="185" customFormat="false" ht="12.75" hidden="false" customHeight="false" outlineLevel="0" collapsed="false">
      <c r="A185" s="5" t="n">
        <v>2170</v>
      </c>
      <c r="B185" s="6" t="s">
        <v>381</v>
      </c>
      <c r="C185" s="6" t="s">
        <v>12</v>
      </c>
      <c r="D185" s="6" t="s">
        <v>382</v>
      </c>
      <c r="E185" s="6" t="s">
        <v>383</v>
      </c>
      <c r="F185" s="7" t="n">
        <v>1002.423942105</v>
      </c>
      <c r="G185" s="7" t="n">
        <v>1002.424</v>
      </c>
      <c r="H185" s="6" t="s">
        <v>15</v>
      </c>
      <c r="I185" s="0" t="n">
        <v>4</v>
      </c>
      <c r="J185" s="1" t="n">
        <f aca="false">CONVERT(G185,"m^2","ha")</f>
        <v>0.1002424</v>
      </c>
      <c r="K185" s="0" t="b">
        <f aca="false">IF(J185&gt;(I185*2),((ROUNDDOWN(J185/I185,0))-1))</f>
        <v>0</v>
      </c>
    </row>
    <row r="186" customFormat="false" ht="12.75" hidden="false" customHeight="false" outlineLevel="0" collapsed="false">
      <c r="A186" s="5" t="n">
        <v>2173</v>
      </c>
      <c r="B186" s="6" t="s">
        <v>384</v>
      </c>
      <c r="C186" s="6" t="s">
        <v>12</v>
      </c>
      <c r="D186" s="6" t="s">
        <v>385</v>
      </c>
      <c r="E186" s="6" t="s">
        <v>14</v>
      </c>
      <c r="F186" s="7" t="n">
        <v>37359.904002935</v>
      </c>
      <c r="G186" s="7" t="n">
        <v>37361.288</v>
      </c>
      <c r="H186" s="6" t="s">
        <v>15</v>
      </c>
      <c r="I186" s="0" t="n">
        <v>4</v>
      </c>
      <c r="J186" s="1" t="n">
        <f aca="false">CONVERT(G186,"m^2","ha")</f>
        <v>3.7361288</v>
      </c>
      <c r="K186" s="0" t="b">
        <f aca="false">IF(J186&gt;(I186*2),((ROUNDDOWN(J186/I186,0))-1))</f>
        <v>0</v>
      </c>
    </row>
    <row r="187" customFormat="false" ht="12.75" hidden="false" customHeight="false" outlineLevel="0" collapsed="false">
      <c r="A187" s="5" t="n">
        <v>2174</v>
      </c>
      <c r="B187" s="6" t="s">
        <v>386</v>
      </c>
      <c r="C187" s="6" t="s">
        <v>12</v>
      </c>
      <c r="D187" s="6" t="s">
        <v>387</v>
      </c>
      <c r="E187" s="6" t="s">
        <v>14</v>
      </c>
      <c r="F187" s="7" t="n">
        <v>53661.431187635</v>
      </c>
      <c r="G187" s="7" t="n">
        <v>53662.354</v>
      </c>
      <c r="H187" s="6" t="s">
        <v>15</v>
      </c>
      <c r="I187" s="0" t="n">
        <v>4</v>
      </c>
      <c r="J187" s="1" t="n">
        <f aca="false">CONVERT(G187,"m^2","ha")</f>
        <v>5.3662354</v>
      </c>
      <c r="K187" s="0" t="b">
        <f aca="false">IF(J187&gt;(I187*2),((ROUNDDOWN(J187/I187,0))-1))</f>
        <v>0</v>
      </c>
    </row>
    <row r="188" customFormat="false" ht="12.75" hidden="false" customHeight="false" outlineLevel="0" collapsed="false">
      <c r="A188" s="5" t="n">
        <v>2176</v>
      </c>
      <c r="B188" s="6" t="s">
        <v>388</v>
      </c>
      <c r="C188" s="6" t="s">
        <v>12</v>
      </c>
      <c r="D188" s="6" t="s">
        <v>389</v>
      </c>
      <c r="E188" s="6" t="s">
        <v>14</v>
      </c>
      <c r="F188" s="7" t="n">
        <v>27098.094308425</v>
      </c>
      <c r="G188" s="7" t="n">
        <v>27097.85</v>
      </c>
      <c r="H188" s="6" t="s">
        <v>15</v>
      </c>
      <c r="I188" s="0" t="n">
        <v>4</v>
      </c>
      <c r="J188" s="1" t="n">
        <f aca="false">CONVERT(G188,"m^2","ha")</f>
        <v>2.709785</v>
      </c>
      <c r="K188" s="0" t="b">
        <f aca="false">IF(J188&gt;(I188*2),((ROUNDDOWN(J188/I188,0))-1))</f>
        <v>0</v>
      </c>
    </row>
    <row r="189" customFormat="false" ht="12.75" hidden="false" customHeight="false" outlineLevel="0" collapsed="false">
      <c r="A189" s="5" t="n">
        <v>2177</v>
      </c>
      <c r="B189" s="6" t="s">
        <v>390</v>
      </c>
      <c r="C189" s="6" t="s">
        <v>12</v>
      </c>
      <c r="D189" s="6" t="s">
        <v>391</v>
      </c>
      <c r="E189" s="6" t="s">
        <v>14</v>
      </c>
      <c r="F189" s="7" t="n">
        <v>33953.392466635</v>
      </c>
      <c r="G189" s="7" t="n">
        <v>33953.179</v>
      </c>
      <c r="H189" s="6" t="s">
        <v>15</v>
      </c>
      <c r="I189" s="0" t="n">
        <v>4</v>
      </c>
      <c r="J189" s="1" t="n">
        <f aca="false">CONVERT(G189,"m^2","ha")</f>
        <v>3.3953179</v>
      </c>
      <c r="K189" s="0" t="b">
        <f aca="false">IF(J189&gt;(I189*2),((ROUNDDOWN(J189/I189,0))-1))</f>
        <v>0</v>
      </c>
    </row>
    <row r="190" customFormat="false" ht="12.75" hidden="false" customHeight="false" outlineLevel="0" collapsed="false">
      <c r="A190" s="5" t="n">
        <v>2183</v>
      </c>
      <c r="B190" s="6" t="s">
        <v>392</v>
      </c>
      <c r="C190" s="6" t="s">
        <v>12</v>
      </c>
      <c r="D190" s="6" t="s">
        <v>393</v>
      </c>
      <c r="E190" s="6" t="s">
        <v>14</v>
      </c>
      <c r="F190" s="7" t="n">
        <v>40036.29483257</v>
      </c>
      <c r="G190" s="7" t="n">
        <v>40036.295</v>
      </c>
      <c r="H190" s="6" t="s">
        <v>15</v>
      </c>
      <c r="I190" s="0" t="n">
        <v>4</v>
      </c>
      <c r="J190" s="1" t="n">
        <f aca="false">CONVERT(G190,"m^2","ha")</f>
        <v>4.0036295</v>
      </c>
      <c r="K190" s="0" t="b">
        <f aca="false">IF(J190&gt;(I190*2),((ROUNDDOWN(J190/I190,0))-1))</f>
        <v>0</v>
      </c>
    </row>
    <row r="191" customFormat="false" ht="12.75" hidden="false" customHeight="false" outlineLevel="0" collapsed="false">
      <c r="A191" s="5" t="n">
        <v>2184</v>
      </c>
      <c r="B191" s="6" t="s">
        <v>394</v>
      </c>
      <c r="C191" s="6" t="s">
        <v>12</v>
      </c>
      <c r="D191" s="6" t="s">
        <v>395</v>
      </c>
      <c r="E191" s="6" t="s">
        <v>14</v>
      </c>
      <c r="F191" s="7" t="n">
        <v>217814.69557133</v>
      </c>
      <c r="G191" s="7" t="n">
        <v>217816.221</v>
      </c>
      <c r="H191" s="6" t="s">
        <v>15</v>
      </c>
      <c r="I191" s="0" t="n">
        <v>4</v>
      </c>
      <c r="J191" s="1" t="n">
        <f aca="false">CONVERT(G191,"m^2","ha")</f>
        <v>21.7816221</v>
      </c>
      <c r="K191" s="0" t="n">
        <f aca="false">IF(J191&gt;(I191*2),((ROUNDDOWN(J191/I191,0))-1))</f>
        <v>4</v>
      </c>
    </row>
    <row r="192" customFormat="false" ht="12.75" hidden="false" customHeight="false" outlineLevel="0" collapsed="false">
      <c r="A192" s="5" t="n">
        <v>2185</v>
      </c>
      <c r="B192" s="6" t="s">
        <v>396</v>
      </c>
      <c r="C192" s="6" t="s">
        <v>12</v>
      </c>
      <c r="D192" s="6" t="s">
        <v>397</v>
      </c>
      <c r="E192" s="6" t="s">
        <v>14</v>
      </c>
      <c r="F192" s="7" t="n">
        <v>42731.81004391</v>
      </c>
      <c r="G192" s="7" t="n">
        <v>42731.81</v>
      </c>
      <c r="H192" s="6" t="s">
        <v>15</v>
      </c>
      <c r="I192" s="0" t="n">
        <v>4</v>
      </c>
      <c r="J192" s="1" t="n">
        <f aca="false">CONVERT(G192,"m^2","ha")</f>
        <v>4.273181</v>
      </c>
      <c r="K192" s="0" t="b">
        <f aca="false">IF(J192&gt;(I192*2),((ROUNDDOWN(J192/I192,0))-1))</f>
        <v>0</v>
      </c>
    </row>
    <row r="193" customFormat="false" ht="12.75" hidden="false" customHeight="false" outlineLevel="0" collapsed="false">
      <c r="A193" s="5" t="n">
        <v>2186</v>
      </c>
      <c r="B193" s="6" t="s">
        <v>398</v>
      </c>
      <c r="C193" s="6" t="s">
        <v>12</v>
      </c>
      <c r="D193" s="6" t="s">
        <v>399</v>
      </c>
      <c r="E193" s="6" t="s">
        <v>14</v>
      </c>
      <c r="F193" s="7" t="n">
        <v>37360.35000954</v>
      </c>
      <c r="G193" s="7" t="n">
        <v>37362.366</v>
      </c>
      <c r="H193" s="6" t="s">
        <v>15</v>
      </c>
      <c r="I193" s="0" t="n">
        <v>4</v>
      </c>
      <c r="J193" s="1" t="n">
        <f aca="false">CONVERT(G193,"m^2","ha")</f>
        <v>3.7362366</v>
      </c>
      <c r="K193" s="0" t="b">
        <f aca="false">IF(J193&gt;(I193*2),((ROUNDDOWN(J193/I193,0))-1))</f>
        <v>0</v>
      </c>
    </row>
    <row r="194" customFormat="false" ht="12.75" hidden="false" customHeight="false" outlineLevel="0" collapsed="false">
      <c r="A194" s="5" t="n">
        <v>2190</v>
      </c>
      <c r="B194" s="6" t="s">
        <v>400</v>
      </c>
      <c r="C194" s="6" t="s">
        <v>12</v>
      </c>
      <c r="D194" s="6" t="s">
        <v>401</v>
      </c>
      <c r="E194" s="6" t="s">
        <v>14</v>
      </c>
      <c r="F194" s="7" t="n">
        <v>35640.839170235</v>
      </c>
      <c r="G194" s="7" t="n">
        <v>35640.04</v>
      </c>
      <c r="H194" s="6" t="s">
        <v>15</v>
      </c>
      <c r="I194" s="0" t="n">
        <v>4</v>
      </c>
      <c r="J194" s="1" t="n">
        <f aca="false">CONVERT(G194,"m^2","ha")</f>
        <v>3.564004</v>
      </c>
      <c r="K194" s="0" t="b">
        <f aca="false">IF(J194&gt;(I194*2),((ROUNDDOWN(J194/I194,0))-1))</f>
        <v>0</v>
      </c>
    </row>
    <row r="195" customFormat="false" ht="12.75" hidden="false" customHeight="false" outlineLevel="0" collapsed="false">
      <c r="A195" s="5" t="n">
        <v>2209</v>
      </c>
      <c r="B195" s="6" t="s">
        <v>402</v>
      </c>
      <c r="C195" s="6" t="s">
        <v>12</v>
      </c>
      <c r="D195" s="6" t="s">
        <v>403</v>
      </c>
      <c r="E195" s="6" t="s">
        <v>14</v>
      </c>
      <c r="F195" s="7" t="n">
        <v>20484.826864005</v>
      </c>
      <c r="G195" s="7" t="n">
        <v>20484.827</v>
      </c>
      <c r="H195" s="6" t="s">
        <v>15</v>
      </c>
      <c r="I195" s="0" t="n">
        <v>4</v>
      </c>
      <c r="J195" s="1" t="n">
        <f aca="false">CONVERT(G195,"m^2","ha")</f>
        <v>2.0484827</v>
      </c>
      <c r="K195" s="0" t="b">
        <f aca="false">IF(J195&gt;(I195*2),((ROUNDDOWN(J195/I195,0))-1))</f>
        <v>0</v>
      </c>
    </row>
    <row r="196" customFormat="false" ht="12.75" hidden="false" customHeight="false" outlineLevel="0" collapsed="false">
      <c r="A196" s="5" t="n">
        <v>2210</v>
      </c>
      <c r="B196" s="6" t="s">
        <v>404</v>
      </c>
      <c r="C196" s="6" t="s">
        <v>12</v>
      </c>
      <c r="D196" s="6" t="s">
        <v>405</v>
      </c>
      <c r="E196" s="6" t="s">
        <v>14</v>
      </c>
      <c r="F196" s="7" t="n">
        <v>117183.429802915</v>
      </c>
      <c r="G196" s="7" t="n">
        <v>117183.43</v>
      </c>
      <c r="H196" s="6" t="s">
        <v>15</v>
      </c>
      <c r="I196" s="0" t="n">
        <v>4</v>
      </c>
      <c r="J196" s="1" t="n">
        <f aca="false">CONVERT(G196,"m^2","ha")</f>
        <v>11.718343</v>
      </c>
      <c r="K196" s="0" t="n">
        <f aca="false">IF(J196&gt;(I196*2),((ROUNDDOWN(J196/I196,0))-1))</f>
        <v>1</v>
      </c>
    </row>
    <row r="197" customFormat="false" ht="12.75" hidden="false" customHeight="false" outlineLevel="0" collapsed="false">
      <c r="A197" s="5" t="n">
        <v>2213</v>
      </c>
      <c r="B197" s="6" t="s">
        <v>406</v>
      </c>
      <c r="C197" s="6" t="s">
        <v>12</v>
      </c>
      <c r="D197" s="6" t="s">
        <v>407</v>
      </c>
      <c r="E197" s="6" t="s">
        <v>14</v>
      </c>
      <c r="F197" s="7" t="n">
        <v>23663.47376948</v>
      </c>
      <c r="G197" s="7" t="n">
        <v>23663.474</v>
      </c>
      <c r="H197" s="6" t="s">
        <v>15</v>
      </c>
      <c r="I197" s="0" t="n">
        <v>4</v>
      </c>
      <c r="J197" s="1" t="n">
        <f aca="false">CONVERT(G197,"m^2","ha")</f>
        <v>2.3663474</v>
      </c>
      <c r="K197" s="0" t="b">
        <f aca="false">IF(J197&gt;(I197*2),((ROUNDDOWN(J197/I197,0))-1))</f>
        <v>0</v>
      </c>
    </row>
    <row r="198" customFormat="false" ht="12.75" hidden="false" customHeight="false" outlineLevel="0" collapsed="false">
      <c r="A198" s="5" t="n">
        <v>2214</v>
      </c>
      <c r="B198" s="6" t="s">
        <v>408</v>
      </c>
      <c r="C198" s="6" t="s">
        <v>12</v>
      </c>
      <c r="D198" s="6" t="s">
        <v>409</v>
      </c>
      <c r="E198" s="6" t="s">
        <v>14</v>
      </c>
      <c r="F198" s="7" t="n">
        <v>80427.185008915</v>
      </c>
      <c r="G198" s="7" t="n">
        <v>80427.185</v>
      </c>
      <c r="H198" s="6" t="s">
        <v>15</v>
      </c>
      <c r="I198" s="0" t="n">
        <v>4</v>
      </c>
      <c r="J198" s="1" t="n">
        <f aca="false">CONVERT(G198,"m^2","ha")</f>
        <v>8.0427185</v>
      </c>
      <c r="K198" s="0" t="n">
        <f aca="false">IF(J198&gt;(I198*2),((ROUNDDOWN(J198/I198,0))-1))</f>
        <v>1</v>
      </c>
    </row>
    <row r="199" customFormat="false" ht="12.75" hidden="false" customHeight="false" outlineLevel="0" collapsed="false">
      <c r="A199" s="5" t="n">
        <v>2216</v>
      </c>
      <c r="B199" s="6" t="s">
        <v>410</v>
      </c>
      <c r="C199" s="6" t="s">
        <v>12</v>
      </c>
      <c r="D199" s="6" t="s">
        <v>411</v>
      </c>
      <c r="E199" s="6" t="s">
        <v>14</v>
      </c>
      <c r="F199" s="7" t="n">
        <v>73528.55157245</v>
      </c>
      <c r="G199" s="7" t="n">
        <v>73528.552</v>
      </c>
      <c r="H199" s="6" t="s">
        <v>15</v>
      </c>
      <c r="I199" s="0" t="n">
        <v>4</v>
      </c>
      <c r="J199" s="1" t="n">
        <f aca="false">CONVERT(G199,"m^2","ha")</f>
        <v>7.3528552</v>
      </c>
      <c r="K199" s="0" t="b">
        <f aca="false">IF(J199&gt;(I199*2),((ROUNDDOWN(J199/I199,0))-1))</f>
        <v>0</v>
      </c>
    </row>
    <row r="200" customFormat="false" ht="12.75" hidden="false" customHeight="false" outlineLevel="0" collapsed="false">
      <c r="A200" s="5" t="n">
        <v>2217</v>
      </c>
      <c r="B200" s="6" t="s">
        <v>412</v>
      </c>
      <c r="C200" s="6" t="s">
        <v>12</v>
      </c>
      <c r="D200" s="6" t="s">
        <v>413</v>
      </c>
      <c r="E200" s="6" t="s">
        <v>14</v>
      </c>
      <c r="F200" s="7" t="n">
        <v>13143.807990935</v>
      </c>
      <c r="G200" s="7" t="n">
        <v>13143.808</v>
      </c>
      <c r="H200" s="6" t="s">
        <v>15</v>
      </c>
      <c r="I200" s="0" t="n">
        <v>4</v>
      </c>
      <c r="J200" s="1" t="n">
        <f aca="false">CONVERT(G200,"m^2","ha")</f>
        <v>1.3143808</v>
      </c>
      <c r="K200" s="0" t="b">
        <f aca="false">IF(J200&gt;(I200*2),((ROUNDDOWN(J200/I200,0))-1))</f>
        <v>0</v>
      </c>
    </row>
    <row r="201" customFormat="false" ht="12.75" hidden="false" customHeight="false" outlineLevel="0" collapsed="false">
      <c r="A201" s="5" t="n">
        <v>2220</v>
      </c>
      <c r="B201" s="6" t="s">
        <v>414</v>
      </c>
      <c r="C201" s="6" t="s">
        <v>12</v>
      </c>
      <c r="D201" s="6" t="s">
        <v>415</v>
      </c>
      <c r="E201" s="6" t="s">
        <v>14</v>
      </c>
      <c r="F201" s="7" t="n">
        <v>51532.19653216</v>
      </c>
      <c r="G201" s="7" t="n">
        <v>51530.789</v>
      </c>
      <c r="H201" s="6" t="s">
        <v>15</v>
      </c>
      <c r="I201" s="0" t="n">
        <v>4</v>
      </c>
      <c r="J201" s="1" t="n">
        <f aca="false">CONVERT(G201,"m^2","ha")</f>
        <v>5.1530789</v>
      </c>
      <c r="K201" s="0" t="b">
        <f aca="false">IF(J201&gt;(I201*2),((ROUNDDOWN(J201/I201,0))-1))</f>
        <v>0</v>
      </c>
    </row>
    <row r="202" customFormat="false" ht="12.75" hidden="false" customHeight="false" outlineLevel="0" collapsed="false">
      <c r="A202" s="5" t="n">
        <v>2223</v>
      </c>
      <c r="B202" s="6" t="s">
        <v>416</v>
      </c>
      <c r="C202" s="6" t="s">
        <v>12</v>
      </c>
      <c r="D202" s="6" t="s">
        <v>417</v>
      </c>
      <c r="E202" s="6" t="s">
        <v>14</v>
      </c>
      <c r="F202" s="7" t="n">
        <v>14215.56573908</v>
      </c>
      <c r="G202" s="7" t="n">
        <v>14215.566</v>
      </c>
      <c r="H202" s="6" t="s">
        <v>15</v>
      </c>
      <c r="I202" s="0" t="n">
        <v>4</v>
      </c>
      <c r="J202" s="1" t="n">
        <f aca="false">CONVERT(G202,"m^2","ha")</f>
        <v>1.4215566</v>
      </c>
      <c r="K202" s="0" t="b">
        <f aca="false">IF(J202&gt;(I202*2),((ROUNDDOWN(J202/I202,0))-1))</f>
        <v>0</v>
      </c>
    </row>
    <row r="203" customFormat="false" ht="12.75" hidden="false" customHeight="false" outlineLevel="0" collapsed="false">
      <c r="A203" s="5" t="n">
        <v>2225</v>
      </c>
      <c r="B203" s="6" t="s">
        <v>418</v>
      </c>
      <c r="C203" s="6" t="s">
        <v>12</v>
      </c>
      <c r="D203" s="6" t="s">
        <v>419</v>
      </c>
      <c r="E203" s="6" t="s">
        <v>14</v>
      </c>
      <c r="F203" s="7" t="n">
        <v>20798.21871987</v>
      </c>
      <c r="G203" s="7" t="n">
        <v>20798.219</v>
      </c>
      <c r="H203" s="6" t="s">
        <v>15</v>
      </c>
      <c r="I203" s="0" t="n">
        <v>4</v>
      </c>
      <c r="J203" s="1" t="n">
        <f aca="false">CONVERT(G203,"m^2","ha")</f>
        <v>2.0798219</v>
      </c>
      <c r="K203" s="0" t="b">
        <f aca="false">IF(J203&gt;(I203*2),((ROUNDDOWN(J203/I203,0))-1))</f>
        <v>0</v>
      </c>
    </row>
    <row r="204" customFormat="false" ht="12.75" hidden="false" customHeight="false" outlineLevel="0" collapsed="false">
      <c r="A204" s="5" t="n">
        <v>2226</v>
      </c>
      <c r="B204" s="6" t="s">
        <v>420</v>
      </c>
      <c r="C204" s="6" t="s">
        <v>12</v>
      </c>
      <c r="D204" s="6" t="s">
        <v>421</v>
      </c>
      <c r="E204" s="6" t="s">
        <v>14</v>
      </c>
      <c r="F204" s="7" t="n">
        <v>100547.2286336</v>
      </c>
      <c r="G204" s="7" t="n">
        <v>100547.229</v>
      </c>
      <c r="H204" s="6" t="s">
        <v>15</v>
      </c>
      <c r="I204" s="0" t="n">
        <v>4</v>
      </c>
      <c r="J204" s="1" t="n">
        <f aca="false">CONVERT(G204,"m^2","ha")</f>
        <v>10.0547229</v>
      </c>
      <c r="K204" s="0" t="n">
        <f aca="false">IF(J204&gt;(I204*2),((ROUNDDOWN(J204/I204,0))-1))</f>
        <v>1</v>
      </c>
    </row>
    <row r="205" customFormat="false" ht="12.75" hidden="false" customHeight="false" outlineLevel="0" collapsed="false">
      <c r="A205" s="5" t="n">
        <v>2232</v>
      </c>
      <c r="B205" s="6" t="s">
        <v>422</v>
      </c>
      <c r="C205" s="6" t="s">
        <v>12</v>
      </c>
      <c r="D205" s="6" t="s">
        <v>423</v>
      </c>
      <c r="E205" s="6" t="s">
        <v>14</v>
      </c>
      <c r="F205" s="7" t="n">
        <v>304551.90192148</v>
      </c>
      <c r="G205" s="7" t="n">
        <v>304550.833</v>
      </c>
      <c r="H205" s="6" t="s">
        <v>15</v>
      </c>
      <c r="I205" s="0" t="n">
        <v>4</v>
      </c>
      <c r="J205" s="1" t="n">
        <f aca="false">CONVERT(G205,"m^2","ha")</f>
        <v>30.4550833</v>
      </c>
      <c r="K205" s="0" t="n">
        <f aca="false">IF(J205&gt;(I205*2),((ROUNDDOWN(J205/I205,0))-1))</f>
        <v>6</v>
      </c>
    </row>
    <row r="206" customFormat="false" ht="12.75" hidden="false" customHeight="false" outlineLevel="0" collapsed="false">
      <c r="A206" s="5" t="n">
        <v>2242</v>
      </c>
      <c r="B206" s="6" t="s">
        <v>424</v>
      </c>
      <c r="C206" s="6" t="s">
        <v>12</v>
      </c>
      <c r="D206" s="6" t="s">
        <v>425</v>
      </c>
      <c r="E206" s="6" t="s">
        <v>14</v>
      </c>
      <c r="F206" s="7" t="n">
        <v>25846.158013</v>
      </c>
      <c r="G206" s="7" t="n">
        <v>25846.158</v>
      </c>
      <c r="H206" s="6" t="s">
        <v>15</v>
      </c>
      <c r="I206" s="0" t="n">
        <v>4</v>
      </c>
      <c r="J206" s="1" t="n">
        <f aca="false">CONVERT(G206,"m^2","ha")</f>
        <v>2.5846158</v>
      </c>
      <c r="K206" s="0" t="b">
        <f aca="false">IF(J206&gt;(I206*2),((ROUNDDOWN(J206/I206,0))-1))</f>
        <v>0</v>
      </c>
    </row>
    <row r="207" customFormat="false" ht="12.75" hidden="false" customHeight="false" outlineLevel="0" collapsed="false">
      <c r="A207" s="5" t="n">
        <v>2247</v>
      </c>
      <c r="B207" s="6" t="s">
        <v>426</v>
      </c>
      <c r="C207" s="6" t="s">
        <v>12</v>
      </c>
      <c r="D207" s="6" t="s">
        <v>427</v>
      </c>
      <c r="E207" s="6" t="s">
        <v>14</v>
      </c>
      <c r="F207" s="7" t="n">
        <v>568111.48643294</v>
      </c>
      <c r="G207" s="7" t="n">
        <v>568110.233</v>
      </c>
      <c r="H207" s="6" t="s">
        <v>15</v>
      </c>
      <c r="I207" s="0" t="n">
        <v>4</v>
      </c>
      <c r="J207" s="1" t="n">
        <f aca="false">CONVERT(G207,"m^2","ha")</f>
        <v>56.8110233</v>
      </c>
      <c r="K207" s="0" t="n">
        <f aca="false">IF(J207&gt;(I207*2),((ROUNDDOWN(J207/I207,0))-1))</f>
        <v>13</v>
      </c>
    </row>
    <row r="208" customFormat="false" ht="12.75" hidden="false" customHeight="false" outlineLevel="0" collapsed="false">
      <c r="A208" s="5" t="n">
        <v>2249</v>
      </c>
      <c r="B208" s="6" t="s">
        <v>428</v>
      </c>
      <c r="C208" s="6" t="s">
        <v>12</v>
      </c>
      <c r="D208" s="6" t="s">
        <v>429</v>
      </c>
      <c r="E208" s="6" t="s">
        <v>14</v>
      </c>
      <c r="F208" s="7" t="n">
        <v>49935.669125235</v>
      </c>
      <c r="G208" s="7" t="n">
        <v>49935.669</v>
      </c>
      <c r="H208" s="6" t="s">
        <v>15</v>
      </c>
      <c r="I208" s="0" t="n">
        <v>4</v>
      </c>
      <c r="J208" s="1" t="n">
        <f aca="false">CONVERT(G208,"m^2","ha")</f>
        <v>4.9935669</v>
      </c>
      <c r="K208" s="0" t="b">
        <f aca="false">IF(J208&gt;(I208*2),((ROUNDDOWN(J208/I208,0))-1))</f>
        <v>0</v>
      </c>
    </row>
    <row r="209" customFormat="false" ht="12.75" hidden="false" customHeight="false" outlineLevel="0" collapsed="false">
      <c r="A209" s="5" t="n">
        <v>2253</v>
      </c>
      <c r="B209" s="6" t="s">
        <v>430</v>
      </c>
      <c r="C209" s="6" t="s">
        <v>12</v>
      </c>
      <c r="D209" s="6" t="s">
        <v>431</v>
      </c>
      <c r="E209" s="6" t="s">
        <v>14</v>
      </c>
      <c r="F209" s="7" t="n">
        <v>95296.345342265</v>
      </c>
      <c r="G209" s="7" t="n">
        <v>95296.011</v>
      </c>
      <c r="H209" s="6" t="s">
        <v>15</v>
      </c>
      <c r="I209" s="0" t="n">
        <v>4</v>
      </c>
      <c r="J209" s="1" t="n">
        <f aca="false">CONVERT(G209,"m^2","ha")</f>
        <v>9.5296011</v>
      </c>
      <c r="K209" s="0" t="n">
        <f aca="false">IF(J209&gt;(I209*2),((ROUNDDOWN(J209/I209,0))-1))</f>
        <v>1</v>
      </c>
    </row>
    <row r="210" customFormat="false" ht="12.75" hidden="false" customHeight="false" outlineLevel="0" collapsed="false">
      <c r="A210" s="5" t="n">
        <v>2257</v>
      </c>
      <c r="B210" s="6" t="s">
        <v>432</v>
      </c>
      <c r="C210" s="6" t="s">
        <v>12</v>
      </c>
      <c r="D210" s="6" t="s">
        <v>433</v>
      </c>
      <c r="E210" s="6" t="s">
        <v>14</v>
      </c>
      <c r="F210" s="7" t="n">
        <v>47128.857109825</v>
      </c>
      <c r="G210" s="7" t="n">
        <v>47128.857</v>
      </c>
      <c r="H210" s="6" t="s">
        <v>15</v>
      </c>
      <c r="I210" s="0" t="n">
        <v>4</v>
      </c>
      <c r="J210" s="1" t="n">
        <f aca="false">CONVERT(G210,"m^2","ha")</f>
        <v>4.7128857</v>
      </c>
      <c r="K210" s="0" t="b">
        <f aca="false">IF(J210&gt;(I210*2),((ROUNDDOWN(J210/I210,0))-1))</f>
        <v>0</v>
      </c>
    </row>
    <row r="211" customFormat="false" ht="12.75" hidden="false" customHeight="false" outlineLevel="0" collapsed="false">
      <c r="A211" s="5" t="n">
        <v>2262</v>
      </c>
      <c r="B211" s="6" t="s">
        <v>434</v>
      </c>
      <c r="C211" s="6" t="s">
        <v>12</v>
      </c>
      <c r="D211" s="6" t="s">
        <v>435</v>
      </c>
      <c r="E211" s="6" t="s">
        <v>14</v>
      </c>
      <c r="F211" s="7" t="n">
        <v>54195.64762063</v>
      </c>
      <c r="G211" s="7" t="n">
        <v>54196.088</v>
      </c>
      <c r="H211" s="6" t="s">
        <v>15</v>
      </c>
      <c r="I211" s="0" t="n">
        <v>4</v>
      </c>
      <c r="J211" s="1" t="n">
        <f aca="false">CONVERT(G211,"m^2","ha")</f>
        <v>5.4196088</v>
      </c>
      <c r="K211" s="0" t="b">
        <f aca="false">IF(J211&gt;(I211*2),((ROUNDDOWN(J211/I211,0))-1))</f>
        <v>0</v>
      </c>
    </row>
    <row r="212" customFormat="false" ht="12.75" hidden="false" customHeight="false" outlineLevel="0" collapsed="false">
      <c r="A212" s="5" t="n">
        <v>2268</v>
      </c>
      <c r="B212" s="6" t="s">
        <v>436</v>
      </c>
      <c r="C212" s="6" t="s">
        <v>12</v>
      </c>
      <c r="D212" s="6" t="s">
        <v>437</v>
      </c>
      <c r="E212" s="6" t="s">
        <v>14</v>
      </c>
      <c r="F212" s="7" t="n">
        <v>65824.751619865</v>
      </c>
      <c r="G212" s="7" t="n">
        <v>65824.752</v>
      </c>
      <c r="H212" s="6" t="s">
        <v>15</v>
      </c>
      <c r="I212" s="0" t="n">
        <v>4</v>
      </c>
      <c r="J212" s="1" t="n">
        <f aca="false">CONVERT(G212,"m^2","ha")</f>
        <v>6.5824752</v>
      </c>
      <c r="K212" s="0" t="b">
        <f aca="false">IF(J212&gt;(I212*2),((ROUNDDOWN(J212/I212,0))-1))</f>
        <v>0</v>
      </c>
    </row>
    <row r="213" customFormat="false" ht="12.75" hidden="false" customHeight="false" outlineLevel="0" collapsed="false">
      <c r="A213" s="5" t="n">
        <v>2398</v>
      </c>
      <c r="B213" s="6" t="s">
        <v>438</v>
      </c>
      <c r="C213" s="6" t="s">
        <v>12</v>
      </c>
      <c r="D213" s="6" t="s">
        <v>439</v>
      </c>
      <c r="E213" s="6" t="s">
        <v>14</v>
      </c>
      <c r="F213" s="7" t="n">
        <v>40304.405216615</v>
      </c>
      <c r="G213" s="7" t="n">
        <v>40304.405</v>
      </c>
      <c r="H213" s="6" t="s">
        <v>15</v>
      </c>
      <c r="I213" s="0" t="n">
        <v>4</v>
      </c>
      <c r="J213" s="1" t="n">
        <f aca="false">CONVERT(G213,"m^2","ha")</f>
        <v>4.0304405</v>
      </c>
      <c r="K213" s="0" t="b">
        <f aca="false">IF(J213&gt;(I213*2),((ROUNDDOWN(J213/I213,0))-1))</f>
        <v>0</v>
      </c>
    </row>
    <row r="214" customFormat="false" ht="12.75" hidden="false" customHeight="false" outlineLevel="0" collapsed="false">
      <c r="A214" s="5" t="n">
        <v>2399</v>
      </c>
      <c r="B214" s="6" t="s">
        <v>440</v>
      </c>
      <c r="C214" s="6" t="s">
        <v>12</v>
      </c>
      <c r="D214" s="6" t="s">
        <v>441</v>
      </c>
      <c r="E214" s="6" t="s">
        <v>14</v>
      </c>
      <c r="F214" s="7" t="n">
        <v>22065.344904735</v>
      </c>
      <c r="G214" s="7" t="n">
        <v>22065.345</v>
      </c>
      <c r="H214" s="6" t="s">
        <v>15</v>
      </c>
      <c r="I214" s="0" t="n">
        <v>4</v>
      </c>
      <c r="J214" s="1" t="n">
        <f aca="false">CONVERT(G214,"m^2","ha")</f>
        <v>2.2065345</v>
      </c>
      <c r="K214" s="0" t="b">
        <f aca="false">IF(J214&gt;(I214*2),((ROUNDDOWN(J214/I214,0))-1))</f>
        <v>0</v>
      </c>
    </row>
    <row r="215" customFormat="false" ht="12.75" hidden="false" customHeight="false" outlineLevel="0" collapsed="false">
      <c r="A215" s="5" t="n">
        <v>2427</v>
      </c>
      <c r="B215" s="6" t="s">
        <v>442</v>
      </c>
      <c r="C215" s="6" t="s">
        <v>12</v>
      </c>
      <c r="D215" s="6" t="s">
        <v>443</v>
      </c>
      <c r="E215" s="6" t="s">
        <v>444</v>
      </c>
      <c r="F215" s="7" t="n">
        <v>39760.554766835</v>
      </c>
      <c r="G215" s="7" t="n">
        <v>39760.555</v>
      </c>
      <c r="H215" s="6" t="s">
        <v>15</v>
      </c>
      <c r="I215" s="0" t="n">
        <v>4</v>
      </c>
      <c r="J215" s="1" t="n">
        <f aca="false">CONVERT(G215,"m^2","ha")</f>
        <v>3.9760555</v>
      </c>
      <c r="K215" s="0" t="b">
        <f aca="false">IF(J215&gt;(I215*2),((ROUNDDOWN(J215/I215,0))-1))</f>
        <v>0</v>
      </c>
    </row>
    <row r="216" customFormat="false" ht="12.75" hidden="false" customHeight="false" outlineLevel="0" collapsed="false">
      <c r="A216" s="5" t="n">
        <v>2431</v>
      </c>
      <c r="B216" s="6" t="s">
        <v>445</v>
      </c>
      <c r="C216" s="6" t="s">
        <v>12</v>
      </c>
      <c r="D216" s="6" t="s">
        <v>446</v>
      </c>
      <c r="E216" s="6" t="s">
        <v>444</v>
      </c>
      <c r="F216" s="7" t="n">
        <v>40156.4286963</v>
      </c>
      <c r="G216" s="7" t="n">
        <v>40156.429</v>
      </c>
      <c r="H216" s="6" t="s">
        <v>15</v>
      </c>
      <c r="I216" s="0" t="n">
        <v>4</v>
      </c>
      <c r="J216" s="1" t="n">
        <f aca="false">CONVERT(G216,"m^2","ha")</f>
        <v>4.0156429</v>
      </c>
      <c r="K216" s="0" t="b">
        <f aca="false">IF(J216&gt;(I216*2),((ROUNDDOWN(J216/I216,0))-1))</f>
        <v>0</v>
      </c>
    </row>
    <row r="217" customFormat="false" ht="12.75" hidden="false" customHeight="false" outlineLevel="0" collapsed="false">
      <c r="A217" s="5" t="n">
        <v>2434</v>
      </c>
      <c r="B217" s="6" t="s">
        <v>447</v>
      </c>
      <c r="C217" s="6" t="s">
        <v>12</v>
      </c>
      <c r="D217" s="6" t="s">
        <v>448</v>
      </c>
      <c r="E217" s="6" t="s">
        <v>444</v>
      </c>
      <c r="F217" s="7" t="n">
        <v>39701.624655305</v>
      </c>
      <c r="G217" s="7" t="n">
        <v>39701.625</v>
      </c>
      <c r="H217" s="6" t="s">
        <v>15</v>
      </c>
      <c r="I217" s="0" t="n">
        <v>4</v>
      </c>
      <c r="J217" s="1" t="n">
        <f aca="false">CONVERT(G217,"m^2","ha")</f>
        <v>3.9701625</v>
      </c>
      <c r="K217" s="0" t="b">
        <f aca="false">IF(J217&gt;(I217*2),((ROUNDDOWN(J217/I217,0))-1))</f>
        <v>0</v>
      </c>
    </row>
    <row r="218" customFormat="false" ht="12.75" hidden="false" customHeight="false" outlineLevel="0" collapsed="false">
      <c r="A218" s="5" t="n">
        <v>2435</v>
      </c>
      <c r="B218" s="6" t="s">
        <v>449</v>
      </c>
      <c r="C218" s="6" t="s">
        <v>12</v>
      </c>
      <c r="D218" s="6" t="s">
        <v>450</v>
      </c>
      <c r="E218" s="6" t="s">
        <v>444</v>
      </c>
      <c r="F218" s="7" t="n">
        <v>39905.725138105</v>
      </c>
      <c r="G218" s="7" t="n">
        <v>39905.725</v>
      </c>
      <c r="H218" s="6" t="s">
        <v>15</v>
      </c>
      <c r="I218" s="0" t="n">
        <v>4</v>
      </c>
      <c r="J218" s="1" t="n">
        <f aca="false">CONVERT(G218,"m^2","ha")</f>
        <v>3.9905725</v>
      </c>
      <c r="K218" s="0" t="b">
        <f aca="false">IF(J218&gt;(I218*2),((ROUNDDOWN(J218/I218,0))-1))</f>
        <v>0</v>
      </c>
    </row>
    <row r="219" customFormat="false" ht="12.75" hidden="false" customHeight="false" outlineLevel="0" collapsed="false">
      <c r="A219" s="5" t="n">
        <v>2441</v>
      </c>
      <c r="B219" s="6" t="s">
        <v>451</v>
      </c>
      <c r="C219" s="6" t="s">
        <v>12</v>
      </c>
      <c r="D219" s="6" t="s">
        <v>452</v>
      </c>
      <c r="E219" s="6" t="s">
        <v>444</v>
      </c>
      <c r="F219" s="7" t="n">
        <v>40304.357561795</v>
      </c>
      <c r="G219" s="7" t="n">
        <v>40304.358</v>
      </c>
      <c r="H219" s="6" t="s">
        <v>15</v>
      </c>
      <c r="I219" s="0" t="n">
        <v>4</v>
      </c>
      <c r="J219" s="1" t="n">
        <f aca="false">CONVERT(G219,"m^2","ha")</f>
        <v>4.0304358</v>
      </c>
      <c r="K219" s="0" t="b">
        <f aca="false">IF(J219&gt;(I219*2),((ROUNDDOWN(J219/I219,0))-1))</f>
        <v>0</v>
      </c>
    </row>
    <row r="220" customFormat="false" ht="12.75" hidden="false" customHeight="false" outlineLevel="0" collapsed="false">
      <c r="A220" s="5" t="n">
        <v>2442</v>
      </c>
      <c r="B220" s="6" t="s">
        <v>453</v>
      </c>
      <c r="C220" s="6" t="s">
        <v>12</v>
      </c>
      <c r="D220" s="6" t="s">
        <v>454</v>
      </c>
      <c r="E220" s="6" t="s">
        <v>444</v>
      </c>
      <c r="F220" s="7" t="n">
        <v>39692.83619779</v>
      </c>
      <c r="G220" s="7" t="n">
        <v>39692.836</v>
      </c>
      <c r="H220" s="6" t="s">
        <v>15</v>
      </c>
      <c r="I220" s="0" t="n">
        <v>4</v>
      </c>
      <c r="J220" s="1" t="n">
        <f aca="false">CONVERT(G220,"m^2","ha")</f>
        <v>3.9692836</v>
      </c>
      <c r="K220" s="0" t="b">
        <f aca="false">IF(J220&gt;(I220*2),((ROUNDDOWN(J220/I220,0))-1))</f>
        <v>0</v>
      </c>
    </row>
    <row r="221" customFormat="false" ht="12.75" hidden="false" customHeight="false" outlineLevel="0" collapsed="false">
      <c r="A221" s="5" t="n">
        <v>2444</v>
      </c>
      <c r="B221" s="6" t="s">
        <v>455</v>
      </c>
      <c r="C221" s="6" t="s">
        <v>12</v>
      </c>
      <c r="D221" s="6" t="s">
        <v>456</v>
      </c>
      <c r="E221" s="6" t="s">
        <v>444</v>
      </c>
      <c r="F221" s="7" t="n">
        <v>39889.743543085</v>
      </c>
      <c r="G221" s="7" t="n">
        <v>39889.744</v>
      </c>
      <c r="H221" s="6" t="s">
        <v>15</v>
      </c>
      <c r="I221" s="0" t="n">
        <v>4</v>
      </c>
      <c r="J221" s="1" t="n">
        <f aca="false">CONVERT(G221,"m^2","ha")</f>
        <v>3.9889744</v>
      </c>
      <c r="K221" s="0" t="b">
        <f aca="false">IF(J221&gt;(I221*2),((ROUNDDOWN(J221/I221,0))-1))</f>
        <v>0</v>
      </c>
    </row>
    <row r="222" customFormat="false" ht="12.75" hidden="false" customHeight="false" outlineLevel="0" collapsed="false">
      <c r="A222" s="5" t="n">
        <v>2446</v>
      </c>
      <c r="B222" s="6" t="s">
        <v>457</v>
      </c>
      <c r="C222" s="6" t="s">
        <v>12</v>
      </c>
      <c r="D222" s="6" t="s">
        <v>458</v>
      </c>
      <c r="E222" s="6" t="s">
        <v>444</v>
      </c>
      <c r="F222" s="7" t="n">
        <v>40244.17747055</v>
      </c>
      <c r="G222" s="7" t="n">
        <v>40244.177</v>
      </c>
      <c r="H222" s="6" t="s">
        <v>15</v>
      </c>
      <c r="I222" s="0" t="n">
        <v>4</v>
      </c>
      <c r="J222" s="1" t="n">
        <f aca="false">CONVERT(G222,"m^2","ha")</f>
        <v>4.0244177</v>
      </c>
      <c r="K222" s="0" t="b">
        <f aca="false">IF(J222&gt;(I222*2),((ROUNDDOWN(J222/I222,0))-1))</f>
        <v>0</v>
      </c>
    </row>
    <row r="223" customFormat="false" ht="12.75" hidden="false" customHeight="false" outlineLevel="0" collapsed="false">
      <c r="A223" s="5" t="n">
        <v>2464</v>
      </c>
      <c r="B223" s="6" t="s">
        <v>459</v>
      </c>
      <c r="C223" s="6" t="s">
        <v>12</v>
      </c>
      <c r="D223" s="6" t="s">
        <v>460</v>
      </c>
      <c r="E223" s="6" t="s">
        <v>444</v>
      </c>
      <c r="F223" s="7" t="n">
        <v>17138.931376665</v>
      </c>
      <c r="G223" s="7" t="n">
        <v>17141.859</v>
      </c>
      <c r="H223" s="6" t="s">
        <v>15</v>
      </c>
      <c r="I223" s="0" t="n">
        <v>4</v>
      </c>
      <c r="J223" s="1" t="n">
        <f aca="false">CONVERT(G223,"m^2","ha")</f>
        <v>1.7141859</v>
      </c>
      <c r="K223" s="0" t="b">
        <f aca="false">IF(J223&gt;(I223*2),((ROUNDDOWN(J223/I223,0))-1))</f>
        <v>0</v>
      </c>
    </row>
    <row r="224" customFormat="false" ht="12.75" hidden="false" customHeight="false" outlineLevel="0" collapsed="false">
      <c r="A224" s="5" t="n">
        <v>2548</v>
      </c>
      <c r="B224" s="6" t="s">
        <v>461</v>
      </c>
      <c r="C224" s="6" t="s">
        <v>12</v>
      </c>
      <c r="D224" s="6" t="s">
        <v>462</v>
      </c>
      <c r="E224" s="6" t="s">
        <v>14</v>
      </c>
      <c r="F224" s="7" t="n">
        <v>18968.12429348</v>
      </c>
      <c r="G224" s="7" t="n">
        <v>18968.124</v>
      </c>
      <c r="H224" s="6" t="s">
        <v>15</v>
      </c>
      <c r="I224" s="0" t="n">
        <v>4</v>
      </c>
      <c r="J224" s="1" t="n">
        <f aca="false">CONVERT(G224,"m^2","ha")</f>
        <v>1.8968124</v>
      </c>
      <c r="K224" s="0" t="b">
        <f aca="false">IF(J224&gt;(I224*2),((ROUNDDOWN(J224/I224,0))-1))</f>
        <v>0</v>
      </c>
    </row>
    <row r="225" customFormat="false" ht="12.75" hidden="false" customHeight="false" outlineLevel="0" collapsed="false">
      <c r="A225" s="5" t="n">
        <v>2549</v>
      </c>
      <c r="B225" s="6" t="s">
        <v>463</v>
      </c>
      <c r="C225" s="6" t="s">
        <v>12</v>
      </c>
      <c r="D225" s="6" t="s">
        <v>464</v>
      </c>
      <c r="E225" s="6" t="s">
        <v>14</v>
      </c>
      <c r="F225" s="7" t="n">
        <v>30561.47147331</v>
      </c>
      <c r="G225" s="7" t="n">
        <v>30561.471</v>
      </c>
      <c r="H225" s="6" t="s">
        <v>15</v>
      </c>
      <c r="I225" s="0" t="n">
        <v>4</v>
      </c>
      <c r="J225" s="1" t="n">
        <f aca="false">CONVERT(G225,"m^2","ha")</f>
        <v>3.0561471</v>
      </c>
      <c r="K225" s="0" t="b">
        <f aca="false">IF(J225&gt;(I225*2),((ROUNDDOWN(J225/I225,0))-1))</f>
        <v>0</v>
      </c>
    </row>
    <row r="226" customFormat="false" ht="12.75" hidden="false" customHeight="false" outlineLevel="0" collapsed="false">
      <c r="A226" s="5" t="n">
        <v>2550</v>
      </c>
      <c r="B226" s="6" t="s">
        <v>465</v>
      </c>
      <c r="C226" s="6" t="s">
        <v>12</v>
      </c>
      <c r="D226" s="6" t="s">
        <v>466</v>
      </c>
      <c r="E226" s="6" t="s">
        <v>14</v>
      </c>
      <c r="F226" s="7" t="n">
        <v>9093.53664524</v>
      </c>
      <c r="G226" s="7" t="n">
        <v>9093.537</v>
      </c>
      <c r="H226" s="6" t="s">
        <v>15</v>
      </c>
      <c r="I226" s="0" t="n">
        <v>4</v>
      </c>
      <c r="J226" s="1" t="n">
        <f aca="false">CONVERT(G226,"m^2","ha")</f>
        <v>0.9093537</v>
      </c>
      <c r="K226" s="0" t="b">
        <f aca="false">IF(J226&gt;(I226*2),((ROUNDDOWN(J226/I226,0))-1))</f>
        <v>0</v>
      </c>
    </row>
    <row r="227" customFormat="false" ht="12.75" hidden="false" customHeight="false" outlineLevel="0" collapsed="false">
      <c r="A227" s="5" t="n">
        <v>2552</v>
      </c>
      <c r="B227" s="6" t="s">
        <v>467</v>
      </c>
      <c r="C227" s="6" t="s">
        <v>12</v>
      </c>
      <c r="D227" s="6" t="s">
        <v>468</v>
      </c>
      <c r="E227" s="6" t="s">
        <v>14</v>
      </c>
      <c r="F227" s="7" t="n">
        <v>21077.601396715</v>
      </c>
      <c r="G227" s="7" t="n">
        <v>21072.983</v>
      </c>
      <c r="H227" s="6" t="s">
        <v>15</v>
      </c>
      <c r="I227" s="0" t="n">
        <v>4</v>
      </c>
      <c r="J227" s="1" t="n">
        <f aca="false">CONVERT(G227,"m^2","ha")</f>
        <v>2.1072983</v>
      </c>
      <c r="K227" s="0" t="b">
        <f aca="false">IF(J227&gt;(I227*2),((ROUNDDOWN(J227/I227,0))-1))</f>
        <v>0</v>
      </c>
    </row>
    <row r="228" customFormat="false" ht="12.75" hidden="false" customHeight="false" outlineLevel="0" collapsed="false">
      <c r="A228" s="5" t="n">
        <v>2558</v>
      </c>
      <c r="B228" s="6" t="s">
        <v>469</v>
      </c>
      <c r="C228" s="6" t="s">
        <v>12</v>
      </c>
      <c r="D228" s="6" t="s">
        <v>470</v>
      </c>
      <c r="E228" s="6" t="s">
        <v>14</v>
      </c>
      <c r="F228" s="7" t="n">
        <v>34866.54654868</v>
      </c>
      <c r="G228" s="7" t="n">
        <v>34866.547</v>
      </c>
      <c r="H228" s="6" t="s">
        <v>15</v>
      </c>
      <c r="I228" s="0" t="n">
        <v>4</v>
      </c>
      <c r="J228" s="1" t="n">
        <f aca="false">CONVERT(G228,"m^2","ha")</f>
        <v>3.4866547</v>
      </c>
      <c r="K228" s="0" t="b">
        <f aca="false">IF(J228&gt;(I228*2),((ROUNDDOWN(J228/I228,0))-1))</f>
        <v>0</v>
      </c>
    </row>
    <row r="229" customFormat="false" ht="12.75" hidden="false" customHeight="false" outlineLevel="0" collapsed="false">
      <c r="A229" s="5" t="n">
        <v>2560</v>
      </c>
      <c r="B229" s="6" t="s">
        <v>471</v>
      </c>
      <c r="C229" s="6" t="s">
        <v>12</v>
      </c>
      <c r="D229" s="6" t="s">
        <v>472</v>
      </c>
      <c r="E229" s="6" t="s">
        <v>14</v>
      </c>
      <c r="F229" s="7" t="n">
        <v>2201.022018925</v>
      </c>
      <c r="G229" s="7" t="n">
        <v>2201.022</v>
      </c>
      <c r="H229" s="6" t="s">
        <v>15</v>
      </c>
      <c r="I229" s="0" t="n">
        <v>4</v>
      </c>
      <c r="J229" s="1" t="n">
        <f aca="false">CONVERT(G229,"m^2","ha")</f>
        <v>0.2201022</v>
      </c>
      <c r="K229" s="0" t="b">
        <f aca="false">IF(J229&gt;(I229*2),((ROUNDDOWN(J229/I229,0))-1))</f>
        <v>0</v>
      </c>
    </row>
    <row r="230" customFormat="false" ht="12.75" hidden="false" customHeight="false" outlineLevel="0" collapsed="false">
      <c r="A230" s="5" t="n">
        <v>2562</v>
      </c>
      <c r="B230" s="6" t="s">
        <v>473</v>
      </c>
      <c r="C230" s="6" t="s">
        <v>12</v>
      </c>
      <c r="D230" s="6" t="s">
        <v>474</v>
      </c>
      <c r="E230" s="6" t="s">
        <v>14</v>
      </c>
      <c r="F230" s="7" t="n">
        <v>149266.35102759</v>
      </c>
      <c r="G230" s="7" t="n">
        <v>149266.351</v>
      </c>
      <c r="H230" s="6" t="s">
        <v>15</v>
      </c>
      <c r="I230" s="0" t="n">
        <v>4</v>
      </c>
      <c r="J230" s="1" t="n">
        <f aca="false">CONVERT(G230,"m^2","ha")</f>
        <v>14.9266351</v>
      </c>
      <c r="K230" s="0" t="n">
        <f aca="false">IF(J230&gt;(I230*2),((ROUNDDOWN(J230/I230,0))-1))</f>
        <v>2</v>
      </c>
    </row>
    <row r="231" customFormat="false" ht="12.75" hidden="false" customHeight="false" outlineLevel="0" collapsed="false">
      <c r="A231" s="5" t="n">
        <v>2565</v>
      </c>
      <c r="B231" s="6" t="s">
        <v>475</v>
      </c>
      <c r="C231" s="6" t="s">
        <v>12</v>
      </c>
      <c r="D231" s="6" t="s">
        <v>476</v>
      </c>
      <c r="E231" s="6" t="s">
        <v>14</v>
      </c>
      <c r="F231" s="7" t="n">
        <v>27447.45749862</v>
      </c>
      <c r="G231" s="7" t="n">
        <v>27447.457</v>
      </c>
      <c r="H231" s="6" t="s">
        <v>15</v>
      </c>
      <c r="I231" s="0" t="n">
        <v>4</v>
      </c>
      <c r="J231" s="1" t="n">
        <f aca="false">CONVERT(G231,"m^2","ha")</f>
        <v>2.7447457</v>
      </c>
      <c r="K231" s="0" t="b">
        <f aca="false">IF(J231&gt;(I231*2),((ROUNDDOWN(J231/I231,0))-1))</f>
        <v>0</v>
      </c>
    </row>
    <row r="232" customFormat="false" ht="12.75" hidden="false" customHeight="false" outlineLevel="0" collapsed="false">
      <c r="A232" s="5" t="n">
        <v>2574</v>
      </c>
      <c r="B232" s="6" t="s">
        <v>477</v>
      </c>
      <c r="C232" s="6" t="s">
        <v>12</v>
      </c>
      <c r="D232" s="6" t="s">
        <v>478</v>
      </c>
      <c r="E232" s="6" t="s">
        <v>14</v>
      </c>
      <c r="F232" s="7" t="n">
        <v>19896.818716765</v>
      </c>
      <c r="G232" s="7" t="n">
        <v>19896.819</v>
      </c>
      <c r="H232" s="6" t="s">
        <v>15</v>
      </c>
      <c r="I232" s="0" t="n">
        <v>4</v>
      </c>
      <c r="J232" s="1" t="n">
        <f aca="false">CONVERT(G232,"m^2","ha")</f>
        <v>1.9896819</v>
      </c>
      <c r="K232" s="0" t="b">
        <f aca="false">IF(J232&gt;(I232*2),((ROUNDDOWN(J232/I232,0))-1))</f>
        <v>0</v>
      </c>
    </row>
    <row r="233" customFormat="false" ht="12.75" hidden="false" customHeight="false" outlineLevel="0" collapsed="false">
      <c r="A233" s="5" t="n">
        <v>2576</v>
      </c>
      <c r="B233" s="6" t="s">
        <v>479</v>
      </c>
      <c r="C233" s="6" t="s">
        <v>12</v>
      </c>
      <c r="D233" s="6" t="s">
        <v>480</v>
      </c>
      <c r="E233" s="6" t="s">
        <v>14</v>
      </c>
      <c r="F233" s="7" t="n">
        <v>19017.938454055</v>
      </c>
      <c r="G233" s="7" t="n">
        <v>19017.938</v>
      </c>
      <c r="H233" s="6" t="s">
        <v>15</v>
      </c>
      <c r="I233" s="0" t="n">
        <v>4</v>
      </c>
      <c r="J233" s="1" t="n">
        <f aca="false">CONVERT(G233,"m^2","ha")</f>
        <v>1.9017938</v>
      </c>
      <c r="K233" s="0" t="b">
        <f aca="false">IF(J233&gt;(I233*2),((ROUNDDOWN(J233/I233,0))-1))</f>
        <v>0</v>
      </c>
    </row>
    <row r="234" customFormat="false" ht="12.75" hidden="false" customHeight="false" outlineLevel="0" collapsed="false">
      <c r="A234" s="5" t="n">
        <v>2580</v>
      </c>
      <c r="B234" s="6" t="s">
        <v>481</v>
      </c>
      <c r="C234" s="6" t="s">
        <v>12</v>
      </c>
      <c r="D234" s="6" t="s">
        <v>482</v>
      </c>
      <c r="E234" s="6" t="s">
        <v>14</v>
      </c>
      <c r="F234" s="7" t="n">
        <v>19211.757387215</v>
      </c>
      <c r="G234" s="7" t="n">
        <v>19211.757</v>
      </c>
      <c r="H234" s="6" t="s">
        <v>15</v>
      </c>
      <c r="I234" s="0" t="n">
        <v>4</v>
      </c>
      <c r="J234" s="1" t="n">
        <f aca="false">CONVERT(G234,"m^2","ha")</f>
        <v>1.9211757</v>
      </c>
      <c r="K234" s="0" t="b">
        <f aca="false">IF(J234&gt;(I234*2),((ROUNDDOWN(J234/I234,0))-1))</f>
        <v>0</v>
      </c>
    </row>
    <row r="235" customFormat="false" ht="12.75" hidden="false" customHeight="false" outlineLevel="0" collapsed="false">
      <c r="A235" s="5" t="n">
        <v>2581</v>
      </c>
      <c r="B235" s="6" t="s">
        <v>483</v>
      </c>
      <c r="C235" s="6" t="s">
        <v>12</v>
      </c>
      <c r="D235" s="6" t="s">
        <v>484</v>
      </c>
      <c r="E235" s="6" t="s">
        <v>14</v>
      </c>
      <c r="F235" s="7" t="n">
        <v>41627.3014597</v>
      </c>
      <c r="G235" s="7" t="n">
        <v>41627.301</v>
      </c>
      <c r="H235" s="6" t="s">
        <v>15</v>
      </c>
      <c r="I235" s="0" t="n">
        <v>4</v>
      </c>
      <c r="J235" s="1" t="n">
        <f aca="false">CONVERT(G235,"m^2","ha")</f>
        <v>4.1627301</v>
      </c>
      <c r="K235" s="0" t="b">
        <f aca="false">IF(J235&gt;(I235*2),((ROUNDDOWN(J235/I235,0))-1))</f>
        <v>0</v>
      </c>
    </row>
    <row r="236" customFormat="false" ht="12.75" hidden="false" customHeight="false" outlineLevel="0" collapsed="false">
      <c r="A236" s="5" t="n">
        <v>2582</v>
      </c>
      <c r="B236" s="6" t="s">
        <v>485</v>
      </c>
      <c r="C236" s="6" t="s">
        <v>12</v>
      </c>
      <c r="D236" s="6" t="s">
        <v>486</v>
      </c>
      <c r="E236" s="6" t="s">
        <v>14</v>
      </c>
      <c r="F236" s="7" t="n">
        <v>13381.59831934</v>
      </c>
      <c r="G236" s="7" t="n">
        <v>13381.598</v>
      </c>
      <c r="H236" s="6" t="s">
        <v>15</v>
      </c>
      <c r="I236" s="0" t="n">
        <v>4</v>
      </c>
      <c r="J236" s="1" t="n">
        <f aca="false">CONVERT(G236,"m^2","ha")</f>
        <v>1.3381598</v>
      </c>
      <c r="K236" s="0" t="b">
        <f aca="false">IF(J236&gt;(I236*2),((ROUNDDOWN(J236/I236,0))-1))</f>
        <v>0</v>
      </c>
    </row>
    <row r="237" customFormat="false" ht="12.75" hidden="false" customHeight="false" outlineLevel="0" collapsed="false">
      <c r="A237" s="5" t="n">
        <v>2584</v>
      </c>
      <c r="B237" s="6" t="s">
        <v>487</v>
      </c>
      <c r="C237" s="6" t="s">
        <v>12</v>
      </c>
      <c r="D237" s="6" t="s">
        <v>488</v>
      </c>
      <c r="E237" s="6" t="s">
        <v>14</v>
      </c>
      <c r="F237" s="7" t="n">
        <v>1593.573517815</v>
      </c>
      <c r="G237" s="7" t="n">
        <v>1593.574</v>
      </c>
      <c r="H237" s="6" t="s">
        <v>15</v>
      </c>
      <c r="I237" s="0" t="n">
        <v>4</v>
      </c>
      <c r="J237" s="1" t="n">
        <f aca="false">CONVERT(G237,"m^2","ha")</f>
        <v>0.1593574</v>
      </c>
      <c r="K237" s="0" t="b">
        <f aca="false">IF(J237&gt;(I237*2),((ROUNDDOWN(J237/I237,0))-1))</f>
        <v>0</v>
      </c>
    </row>
    <row r="238" customFormat="false" ht="12.75" hidden="false" customHeight="false" outlineLevel="0" collapsed="false">
      <c r="A238" s="5" t="n">
        <v>2587</v>
      </c>
      <c r="B238" s="6" t="s">
        <v>489</v>
      </c>
      <c r="C238" s="6" t="s">
        <v>12</v>
      </c>
      <c r="D238" s="6" t="s">
        <v>490</v>
      </c>
      <c r="E238" s="6" t="s">
        <v>14</v>
      </c>
      <c r="F238" s="7" t="n">
        <v>85109.539183765</v>
      </c>
      <c r="G238" s="7" t="n">
        <v>85109.539</v>
      </c>
      <c r="H238" s="6" t="s">
        <v>15</v>
      </c>
      <c r="I238" s="0" t="n">
        <v>4</v>
      </c>
      <c r="J238" s="1" t="n">
        <f aca="false">CONVERT(G238,"m^2","ha")</f>
        <v>8.5109539</v>
      </c>
      <c r="K238" s="0" t="n">
        <f aca="false">IF(J238&gt;(I238*2),((ROUNDDOWN(J238/I238,0))-1))</f>
        <v>1</v>
      </c>
    </row>
    <row r="239" customFormat="false" ht="12.75" hidden="false" customHeight="false" outlineLevel="0" collapsed="false">
      <c r="A239" s="5" t="n">
        <v>2589</v>
      </c>
      <c r="B239" s="6" t="s">
        <v>491</v>
      </c>
      <c r="C239" s="6" t="s">
        <v>12</v>
      </c>
      <c r="D239" s="6" t="s">
        <v>492</v>
      </c>
      <c r="E239" s="6" t="s">
        <v>14</v>
      </c>
      <c r="F239" s="7" t="n">
        <v>18983.112806</v>
      </c>
      <c r="G239" s="7" t="n">
        <v>18983.113</v>
      </c>
      <c r="H239" s="6" t="s">
        <v>15</v>
      </c>
      <c r="I239" s="0" t="n">
        <v>4</v>
      </c>
      <c r="J239" s="1" t="n">
        <f aca="false">CONVERT(G239,"m^2","ha")</f>
        <v>1.8983113</v>
      </c>
      <c r="K239" s="0" t="b">
        <f aca="false">IF(J239&gt;(I239*2),((ROUNDDOWN(J239/I239,0))-1))</f>
        <v>0</v>
      </c>
    </row>
    <row r="240" customFormat="false" ht="12.75" hidden="false" customHeight="false" outlineLevel="0" collapsed="false">
      <c r="A240" s="5" t="n">
        <v>2590</v>
      </c>
      <c r="B240" s="6" t="s">
        <v>493</v>
      </c>
      <c r="C240" s="6" t="s">
        <v>12</v>
      </c>
      <c r="D240" s="6" t="s">
        <v>494</v>
      </c>
      <c r="E240" s="6" t="s">
        <v>14</v>
      </c>
      <c r="F240" s="7" t="n">
        <v>11153.849972755</v>
      </c>
      <c r="G240" s="7" t="n">
        <v>11153.85</v>
      </c>
      <c r="H240" s="6" t="s">
        <v>15</v>
      </c>
      <c r="I240" s="0" t="n">
        <v>4</v>
      </c>
      <c r="J240" s="1" t="n">
        <f aca="false">CONVERT(G240,"m^2","ha")</f>
        <v>1.115385</v>
      </c>
      <c r="K240" s="0" t="b">
        <f aca="false">IF(J240&gt;(I240*2),((ROUNDDOWN(J240/I240,0))-1))</f>
        <v>0</v>
      </c>
    </row>
    <row r="241" customFormat="false" ht="12.75" hidden="false" customHeight="false" outlineLevel="0" collapsed="false">
      <c r="A241" s="5" t="n">
        <v>2601</v>
      </c>
      <c r="B241" s="6" t="s">
        <v>495</v>
      </c>
      <c r="C241" s="6" t="s">
        <v>12</v>
      </c>
      <c r="D241" s="6" t="s">
        <v>496</v>
      </c>
      <c r="E241" s="6" t="s">
        <v>14</v>
      </c>
      <c r="F241" s="7" t="n">
        <v>22669.22004147</v>
      </c>
      <c r="G241" s="7" t="n">
        <v>22669.22</v>
      </c>
      <c r="H241" s="6" t="s">
        <v>15</v>
      </c>
      <c r="I241" s="0" t="n">
        <v>4</v>
      </c>
      <c r="J241" s="1" t="n">
        <f aca="false">CONVERT(G241,"m^2","ha")</f>
        <v>2.266922</v>
      </c>
      <c r="K241" s="8" t="b">
        <f aca="false">IF(J241&gt;(I241*2),((ROUNDDOWN(J241/I241,0))-1))</f>
        <v>0</v>
      </c>
    </row>
    <row r="242" customFormat="false" ht="12.75" hidden="false" customHeight="false" outlineLevel="0" collapsed="false">
      <c r="A242" s="5" t="n">
        <v>2604</v>
      </c>
      <c r="B242" s="6" t="s">
        <v>497</v>
      </c>
      <c r="C242" s="6" t="s">
        <v>12</v>
      </c>
      <c r="D242" s="6" t="s">
        <v>498</v>
      </c>
      <c r="E242" s="6" t="s">
        <v>14</v>
      </c>
      <c r="F242" s="7" t="n">
        <v>5804.18252237</v>
      </c>
      <c r="G242" s="7" t="n">
        <v>5803.026</v>
      </c>
      <c r="H242" s="6" t="s">
        <v>15</v>
      </c>
      <c r="I242" s="0" t="n">
        <v>4</v>
      </c>
      <c r="J242" s="1" t="n">
        <f aca="false">CONVERT(G242,"m^2","ha")</f>
        <v>0.5803026</v>
      </c>
      <c r="K242" s="8" t="b">
        <f aca="false">IF(J242&gt;(I242*2),((ROUNDDOWN(J242/I242,0))-1))</f>
        <v>0</v>
      </c>
    </row>
    <row r="243" customFormat="false" ht="12.75" hidden="false" customHeight="false" outlineLevel="0" collapsed="false">
      <c r="A243" s="5" t="n">
        <v>2605</v>
      </c>
      <c r="B243" s="6" t="s">
        <v>499</v>
      </c>
      <c r="C243" s="6" t="s">
        <v>12</v>
      </c>
      <c r="D243" s="6" t="s">
        <v>500</v>
      </c>
      <c r="E243" s="6" t="s">
        <v>14</v>
      </c>
      <c r="F243" s="7" t="n">
        <v>9805.678507695</v>
      </c>
      <c r="G243" s="7" t="n">
        <v>9806.608</v>
      </c>
      <c r="H243" s="6" t="s">
        <v>15</v>
      </c>
      <c r="I243" s="0" t="n">
        <v>4</v>
      </c>
      <c r="J243" s="1" t="n">
        <f aca="false">CONVERT(G243,"m^2","ha")</f>
        <v>0.9806608</v>
      </c>
      <c r="K243" s="8" t="b">
        <f aca="false">IF(J243&gt;(I243*2),((ROUNDDOWN(J243/I243,0))-1))</f>
        <v>0</v>
      </c>
    </row>
    <row r="244" customFormat="false" ht="12.75" hidden="false" customHeight="false" outlineLevel="0" collapsed="false">
      <c r="A244" s="5" t="n">
        <v>2606</v>
      </c>
      <c r="B244" s="6" t="s">
        <v>501</v>
      </c>
      <c r="C244" s="6" t="s">
        <v>12</v>
      </c>
      <c r="D244" s="6" t="s">
        <v>502</v>
      </c>
      <c r="E244" s="6" t="s">
        <v>14</v>
      </c>
      <c r="F244" s="7" t="n">
        <v>141475.529823635</v>
      </c>
      <c r="G244" s="7" t="n">
        <v>141474.353</v>
      </c>
      <c r="H244" s="6" t="s">
        <v>15</v>
      </c>
      <c r="I244" s="0" t="n">
        <v>4</v>
      </c>
      <c r="J244" s="1" t="n">
        <f aca="false">CONVERT(G244,"m^2","ha")</f>
        <v>14.1474353</v>
      </c>
      <c r="K244" s="0" t="n">
        <f aca="false">IF(J244&gt;(I244*2),((ROUNDDOWN(J244/I244,0))-1))</f>
        <v>2</v>
      </c>
    </row>
    <row r="245" customFormat="false" ht="12.75" hidden="false" customHeight="false" outlineLevel="0" collapsed="false">
      <c r="A245" s="5" t="n">
        <v>2607</v>
      </c>
      <c r="B245" s="6" t="s">
        <v>503</v>
      </c>
      <c r="C245" s="6" t="s">
        <v>12</v>
      </c>
      <c r="D245" s="6" t="s">
        <v>504</v>
      </c>
      <c r="E245" s="6" t="s">
        <v>14</v>
      </c>
      <c r="F245" s="7" t="n">
        <v>10420.324657305</v>
      </c>
      <c r="G245" s="7" t="n">
        <v>10421.017</v>
      </c>
      <c r="H245" s="6" t="s">
        <v>15</v>
      </c>
      <c r="I245" s="0" t="n">
        <v>4</v>
      </c>
      <c r="J245" s="1" t="n">
        <f aca="false">CONVERT(G245,"m^2","ha")</f>
        <v>1.0421017</v>
      </c>
      <c r="K245" s="0" t="b">
        <f aca="false">IF(J245&gt;(I245*2),((ROUNDDOWN(J245/I245,0))-1))</f>
        <v>0</v>
      </c>
    </row>
    <row r="246" customFormat="false" ht="12.75" hidden="false" customHeight="false" outlineLevel="0" collapsed="false">
      <c r="A246" s="5" t="n">
        <v>2608</v>
      </c>
      <c r="B246" s="6" t="s">
        <v>505</v>
      </c>
      <c r="C246" s="6" t="s">
        <v>12</v>
      </c>
      <c r="D246" s="6" t="s">
        <v>506</v>
      </c>
      <c r="E246" s="6" t="s">
        <v>14</v>
      </c>
      <c r="F246" s="7" t="n">
        <v>8205.75795527</v>
      </c>
      <c r="G246" s="7" t="n">
        <v>8205.758</v>
      </c>
      <c r="H246" s="6" t="s">
        <v>15</v>
      </c>
      <c r="I246" s="0" t="n">
        <v>4</v>
      </c>
      <c r="J246" s="1" t="n">
        <f aca="false">CONVERT(G246,"m^2","ha")</f>
        <v>0.8205758</v>
      </c>
      <c r="K246" s="0" t="b">
        <f aca="false">IF(J246&gt;(I246*2),((ROUNDDOWN(J246/I246,0))-1))</f>
        <v>0</v>
      </c>
    </row>
    <row r="247" customFormat="false" ht="12.75" hidden="false" customHeight="false" outlineLevel="0" collapsed="false">
      <c r="A247" s="5" t="n">
        <v>2634</v>
      </c>
      <c r="B247" s="6" t="s">
        <v>507</v>
      </c>
      <c r="C247" s="6" t="s">
        <v>12</v>
      </c>
      <c r="D247" s="6" t="s">
        <v>508</v>
      </c>
      <c r="E247" s="6" t="s">
        <v>14</v>
      </c>
      <c r="F247" s="7" t="n">
        <v>42837.372655015</v>
      </c>
      <c r="G247" s="7" t="n">
        <v>42837.832</v>
      </c>
      <c r="H247" s="6" t="s">
        <v>15</v>
      </c>
      <c r="I247" s="0" t="n">
        <v>4</v>
      </c>
      <c r="J247" s="1" t="n">
        <f aca="false">CONVERT(G247,"m^2","ha")</f>
        <v>4.2837832</v>
      </c>
      <c r="K247" s="0" t="b">
        <f aca="false">IF(J247&gt;(I247*2),((ROUNDDOWN(J247/I247,0))-1))</f>
        <v>0</v>
      </c>
    </row>
    <row r="248" customFormat="false" ht="12.75" hidden="false" customHeight="false" outlineLevel="0" collapsed="false">
      <c r="A248" s="5" t="n">
        <v>2635</v>
      </c>
      <c r="B248" s="6" t="s">
        <v>509</v>
      </c>
      <c r="C248" s="6" t="s">
        <v>12</v>
      </c>
      <c r="D248" s="6" t="s">
        <v>510</v>
      </c>
      <c r="E248" s="6" t="s">
        <v>14</v>
      </c>
      <c r="F248" s="7" t="n">
        <v>41326.955299975</v>
      </c>
      <c r="G248" s="7" t="n">
        <v>41327.815</v>
      </c>
      <c r="H248" s="6" t="s">
        <v>15</v>
      </c>
      <c r="I248" s="0" t="n">
        <v>4</v>
      </c>
      <c r="J248" s="1" t="n">
        <f aca="false">CONVERT(G248,"m^2","ha")</f>
        <v>4.1327815</v>
      </c>
      <c r="K248" s="0" t="b">
        <f aca="false">IF(J248&gt;(I248*2),((ROUNDDOWN(J248/I248,0))-1))</f>
        <v>0</v>
      </c>
    </row>
    <row r="249" customFormat="false" ht="12.75" hidden="false" customHeight="false" outlineLevel="0" collapsed="false">
      <c r="A249" s="5" t="n">
        <v>2636</v>
      </c>
      <c r="B249" s="6" t="s">
        <v>511</v>
      </c>
      <c r="C249" s="6" t="s">
        <v>12</v>
      </c>
      <c r="D249" s="6" t="s">
        <v>512</v>
      </c>
      <c r="E249" s="6" t="s">
        <v>14</v>
      </c>
      <c r="F249" s="7" t="n">
        <v>41949.52198703</v>
      </c>
      <c r="G249" s="7" t="n">
        <v>41949.562</v>
      </c>
      <c r="H249" s="6" t="s">
        <v>15</v>
      </c>
      <c r="I249" s="0" t="n">
        <v>4</v>
      </c>
      <c r="J249" s="1" t="n">
        <f aca="false">CONVERT(G249,"m^2","ha")</f>
        <v>4.1949562</v>
      </c>
      <c r="K249" s="0" t="b">
        <f aca="false">IF(J249&gt;(I249*2),((ROUNDDOWN(J249/I249,0))-1))</f>
        <v>0</v>
      </c>
    </row>
    <row r="250" customFormat="false" ht="12.75" hidden="false" customHeight="false" outlineLevel="0" collapsed="false">
      <c r="A250" s="5" t="n">
        <v>2637</v>
      </c>
      <c r="B250" s="6" t="s">
        <v>513</v>
      </c>
      <c r="C250" s="6" t="s">
        <v>12</v>
      </c>
      <c r="D250" s="6" t="s">
        <v>514</v>
      </c>
      <c r="E250" s="6" t="s">
        <v>14</v>
      </c>
      <c r="F250" s="7" t="n">
        <v>41516.56515409</v>
      </c>
      <c r="G250" s="7" t="n">
        <v>41516.565</v>
      </c>
      <c r="H250" s="6" t="s">
        <v>15</v>
      </c>
      <c r="I250" s="0" t="n">
        <v>4</v>
      </c>
      <c r="J250" s="1" t="n">
        <f aca="false">CONVERT(G250,"m^2","ha")</f>
        <v>4.1516565</v>
      </c>
      <c r="K250" s="0" t="b">
        <f aca="false">IF(J250&gt;(I250*2),((ROUNDDOWN(J250/I250,0))-1))</f>
        <v>0</v>
      </c>
    </row>
    <row r="251" customFormat="false" ht="12.75" hidden="false" customHeight="false" outlineLevel="0" collapsed="false">
      <c r="A251" s="5" t="n">
        <v>2638</v>
      </c>
      <c r="B251" s="6" t="s">
        <v>515</v>
      </c>
      <c r="C251" s="6" t="s">
        <v>12</v>
      </c>
      <c r="D251" s="6" t="s">
        <v>516</v>
      </c>
      <c r="E251" s="6" t="s">
        <v>14</v>
      </c>
      <c r="F251" s="7" t="n">
        <v>41347.81719228</v>
      </c>
      <c r="G251" s="7" t="n">
        <v>41347.793</v>
      </c>
      <c r="H251" s="6" t="s">
        <v>15</v>
      </c>
      <c r="I251" s="0" t="n">
        <v>4</v>
      </c>
      <c r="J251" s="1" t="n">
        <f aca="false">CONVERT(G251,"m^2","ha")</f>
        <v>4.1347793</v>
      </c>
      <c r="K251" s="0" t="b">
        <f aca="false">IF(J251&gt;(I251*2),((ROUNDDOWN(J251/I251,0))-1))</f>
        <v>0</v>
      </c>
    </row>
    <row r="252" customFormat="false" ht="12.75" hidden="false" customHeight="false" outlineLevel="0" collapsed="false">
      <c r="A252" s="5" t="n">
        <v>2639</v>
      </c>
      <c r="B252" s="6" t="s">
        <v>517</v>
      </c>
      <c r="C252" s="6" t="s">
        <v>12</v>
      </c>
      <c r="D252" s="6" t="s">
        <v>518</v>
      </c>
      <c r="E252" s="6" t="s">
        <v>14</v>
      </c>
      <c r="F252" s="7" t="n">
        <v>39953.89972905</v>
      </c>
      <c r="G252" s="7" t="n">
        <v>39953.9</v>
      </c>
      <c r="H252" s="6" t="s">
        <v>15</v>
      </c>
      <c r="I252" s="0" t="n">
        <v>4</v>
      </c>
      <c r="J252" s="1" t="n">
        <f aca="false">CONVERT(G252,"m^2","ha")</f>
        <v>3.99539</v>
      </c>
      <c r="K252" s="0" t="b">
        <f aca="false">IF(J252&gt;(I252*2),((ROUNDDOWN(J252/I252,0))-1))</f>
        <v>0</v>
      </c>
    </row>
    <row r="253" customFormat="false" ht="12.75" hidden="false" customHeight="false" outlineLevel="0" collapsed="false">
      <c r="A253" s="5" t="n">
        <v>2640</v>
      </c>
      <c r="B253" s="6" t="s">
        <v>519</v>
      </c>
      <c r="C253" s="6" t="s">
        <v>12</v>
      </c>
      <c r="D253" s="6" t="s">
        <v>520</v>
      </c>
      <c r="E253" s="6" t="s">
        <v>14</v>
      </c>
      <c r="F253" s="7" t="n">
        <v>39934.92104041</v>
      </c>
      <c r="G253" s="7" t="n">
        <v>39934.921</v>
      </c>
      <c r="H253" s="6" t="s">
        <v>15</v>
      </c>
      <c r="I253" s="0" t="n">
        <v>4</v>
      </c>
      <c r="J253" s="1" t="n">
        <f aca="false">CONVERT(G253,"m^2","ha")</f>
        <v>3.9934921</v>
      </c>
      <c r="K253" s="0" t="b">
        <f aca="false">IF(J253&gt;(I253*2),((ROUNDDOWN(J253/I253,0))-1))</f>
        <v>0</v>
      </c>
    </row>
    <row r="254" customFormat="false" ht="12.75" hidden="false" customHeight="false" outlineLevel="0" collapsed="false">
      <c r="A254" s="5" t="n">
        <v>2641</v>
      </c>
      <c r="B254" s="6" t="s">
        <v>521</v>
      </c>
      <c r="C254" s="6" t="s">
        <v>12</v>
      </c>
      <c r="D254" s="6" t="s">
        <v>522</v>
      </c>
      <c r="E254" s="6" t="s">
        <v>14</v>
      </c>
      <c r="F254" s="7" t="n">
        <v>39991.71901506</v>
      </c>
      <c r="G254" s="7" t="n">
        <v>39991.719</v>
      </c>
      <c r="H254" s="6" t="s">
        <v>15</v>
      </c>
      <c r="I254" s="0" t="n">
        <v>4</v>
      </c>
      <c r="J254" s="1" t="n">
        <f aca="false">CONVERT(G254,"m^2","ha")</f>
        <v>3.9991719</v>
      </c>
      <c r="K254" s="0" t="b">
        <f aca="false">IF(J254&gt;(I254*2),((ROUNDDOWN(J254/I254,0))-1))</f>
        <v>0</v>
      </c>
    </row>
    <row r="255" customFormat="false" ht="12.75" hidden="false" customHeight="false" outlineLevel="0" collapsed="false">
      <c r="A255" s="5" t="n">
        <v>2642</v>
      </c>
      <c r="B255" s="6" t="s">
        <v>523</v>
      </c>
      <c r="C255" s="6" t="s">
        <v>12</v>
      </c>
      <c r="D255" s="6" t="s">
        <v>524</v>
      </c>
      <c r="E255" s="6" t="s">
        <v>14</v>
      </c>
      <c r="F255" s="7" t="n">
        <v>40012.053167905</v>
      </c>
      <c r="G255" s="7" t="n">
        <v>40012.053</v>
      </c>
      <c r="H255" s="6" t="s">
        <v>15</v>
      </c>
      <c r="I255" s="0" t="n">
        <v>4</v>
      </c>
      <c r="J255" s="1" t="n">
        <f aca="false">CONVERT(G255,"m^2","ha")</f>
        <v>4.0012053</v>
      </c>
      <c r="K255" s="0" t="b">
        <f aca="false">IF(J255&gt;(I255*2),((ROUNDDOWN(J255/I255,0))-1))</f>
        <v>0</v>
      </c>
    </row>
    <row r="256" customFormat="false" ht="12.75" hidden="false" customHeight="false" outlineLevel="0" collapsed="false">
      <c r="A256" s="5" t="n">
        <v>2643</v>
      </c>
      <c r="B256" s="6" t="s">
        <v>525</v>
      </c>
      <c r="C256" s="6" t="s">
        <v>12</v>
      </c>
      <c r="D256" s="6" t="s">
        <v>526</v>
      </c>
      <c r="E256" s="6" t="s">
        <v>14</v>
      </c>
      <c r="F256" s="7" t="n">
        <v>40028.6153538</v>
      </c>
      <c r="G256" s="7" t="n">
        <v>40028.615</v>
      </c>
      <c r="H256" s="6" t="s">
        <v>15</v>
      </c>
      <c r="I256" s="0" t="n">
        <v>4</v>
      </c>
      <c r="J256" s="1" t="n">
        <f aca="false">CONVERT(G256,"m^2","ha")</f>
        <v>4.0028615</v>
      </c>
      <c r="K256" s="0" t="b">
        <f aca="false">IF(J256&gt;(I256*2),((ROUNDDOWN(J256/I256,0))-1))</f>
        <v>0</v>
      </c>
    </row>
    <row r="257" customFormat="false" ht="12.75" hidden="false" customHeight="false" outlineLevel="0" collapsed="false">
      <c r="A257" s="5" t="n">
        <v>2644</v>
      </c>
      <c r="B257" s="6" t="s">
        <v>527</v>
      </c>
      <c r="C257" s="6" t="s">
        <v>12</v>
      </c>
      <c r="D257" s="6" t="s">
        <v>528</v>
      </c>
      <c r="E257" s="6" t="s">
        <v>14</v>
      </c>
      <c r="F257" s="7" t="n">
        <v>39989.88922472</v>
      </c>
      <c r="G257" s="7" t="n">
        <v>39989.917</v>
      </c>
      <c r="H257" s="6" t="s">
        <v>15</v>
      </c>
      <c r="I257" s="0" t="n">
        <v>4</v>
      </c>
      <c r="J257" s="1" t="n">
        <f aca="false">CONVERT(G257,"m^2","ha")</f>
        <v>3.9989917</v>
      </c>
      <c r="K257" s="0" t="b">
        <f aca="false">IF(J257&gt;(I257*2),((ROUNDDOWN(J257/I257,0))-1))</f>
        <v>0</v>
      </c>
    </row>
    <row r="258" customFormat="false" ht="12.75" hidden="false" customHeight="false" outlineLevel="0" collapsed="false">
      <c r="A258" s="5" t="n">
        <v>2645</v>
      </c>
      <c r="B258" s="6" t="s">
        <v>529</v>
      </c>
      <c r="C258" s="6" t="s">
        <v>12</v>
      </c>
      <c r="D258" s="6" t="s">
        <v>530</v>
      </c>
      <c r="E258" s="6" t="s">
        <v>14</v>
      </c>
      <c r="F258" s="7" t="n">
        <v>40616.942631375</v>
      </c>
      <c r="G258" s="7" t="n">
        <v>40616.943</v>
      </c>
      <c r="H258" s="6" t="s">
        <v>15</v>
      </c>
      <c r="I258" s="0" t="n">
        <v>4</v>
      </c>
      <c r="J258" s="1" t="n">
        <f aca="false">CONVERT(G258,"m^2","ha")</f>
        <v>4.0616943</v>
      </c>
      <c r="K258" s="0" t="b">
        <f aca="false">IF(J258&gt;(I258*2),((ROUNDDOWN(J258/I258,0))-1))</f>
        <v>0</v>
      </c>
    </row>
    <row r="259" customFormat="false" ht="12.75" hidden="false" customHeight="false" outlineLevel="0" collapsed="false">
      <c r="A259" s="5" t="n">
        <v>2646</v>
      </c>
      <c r="B259" s="6" t="s">
        <v>531</v>
      </c>
      <c r="C259" s="6" t="s">
        <v>12</v>
      </c>
      <c r="D259" s="6" t="s">
        <v>532</v>
      </c>
      <c r="E259" s="6" t="s">
        <v>14</v>
      </c>
      <c r="F259" s="7" t="n">
        <v>39776.5021666</v>
      </c>
      <c r="G259" s="7" t="n">
        <v>39778.588</v>
      </c>
      <c r="H259" s="6" t="s">
        <v>15</v>
      </c>
      <c r="I259" s="0" t="n">
        <v>4</v>
      </c>
      <c r="J259" s="1" t="n">
        <f aca="false">CONVERT(G259,"m^2","ha")</f>
        <v>3.9778588</v>
      </c>
      <c r="K259" s="0" t="b">
        <f aca="false">IF(J259&gt;(I259*2),((ROUNDDOWN(J259/I259,0))-1))</f>
        <v>0</v>
      </c>
    </row>
    <row r="260" customFormat="false" ht="12.75" hidden="false" customHeight="false" outlineLevel="0" collapsed="false">
      <c r="A260" s="5" t="n">
        <v>2647</v>
      </c>
      <c r="B260" s="6" t="s">
        <v>533</v>
      </c>
      <c r="C260" s="6" t="s">
        <v>12</v>
      </c>
      <c r="D260" s="6" t="s">
        <v>534</v>
      </c>
      <c r="E260" s="6" t="s">
        <v>14</v>
      </c>
      <c r="F260" s="7" t="n">
        <v>39991.052967185</v>
      </c>
      <c r="G260" s="7" t="n">
        <v>39992.508</v>
      </c>
      <c r="H260" s="6" t="s">
        <v>15</v>
      </c>
      <c r="I260" s="0" t="n">
        <v>4</v>
      </c>
      <c r="J260" s="1" t="n">
        <f aca="false">CONVERT(G260,"m^2","ha")</f>
        <v>3.9992508</v>
      </c>
      <c r="K260" s="0" t="b">
        <f aca="false">IF(J260&gt;(I260*2),((ROUNDDOWN(J260/I260,0))-1))</f>
        <v>0</v>
      </c>
    </row>
    <row r="261" customFormat="false" ht="12.75" hidden="false" customHeight="false" outlineLevel="0" collapsed="false">
      <c r="A261" s="5" t="n">
        <v>2648</v>
      </c>
      <c r="B261" s="6" t="s">
        <v>535</v>
      </c>
      <c r="C261" s="6" t="s">
        <v>12</v>
      </c>
      <c r="D261" s="6" t="s">
        <v>536</v>
      </c>
      <c r="E261" s="6" t="s">
        <v>14</v>
      </c>
      <c r="F261" s="7" t="n">
        <v>40405.24592885</v>
      </c>
      <c r="G261" s="7" t="n">
        <v>40401.605</v>
      </c>
      <c r="H261" s="6" t="s">
        <v>15</v>
      </c>
      <c r="I261" s="0" t="n">
        <v>4</v>
      </c>
      <c r="J261" s="1" t="n">
        <f aca="false">CONVERT(G261,"m^2","ha")</f>
        <v>4.0401605</v>
      </c>
      <c r="K261" s="0" t="b">
        <f aca="false">IF(J261&gt;(I261*2),((ROUNDDOWN(J261/I261,0))-1))</f>
        <v>0</v>
      </c>
    </row>
    <row r="262" customFormat="false" ht="12.75" hidden="false" customHeight="false" outlineLevel="0" collapsed="false">
      <c r="A262" s="5" t="n">
        <v>2649</v>
      </c>
      <c r="B262" s="6" t="s">
        <v>537</v>
      </c>
      <c r="C262" s="6" t="s">
        <v>12</v>
      </c>
      <c r="D262" s="6" t="s">
        <v>538</v>
      </c>
      <c r="E262" s="6" t="s">
        <v>14</v>
      </c>
      <c r="F262" s="7" t="n">
        <v>40228.29404679</v>
      </c>
      <c r="G262" s="7" t="n">
        <v>40232.505</v>
      </c>
      <c r="H262" s="6" t="s">
        <v>15</v>
      </c>
      <c r="I262" s="0" t="n">
        <v>4</v>
      </c>
      <c r="J262" s="1" t="n">
        <f aca="false">CONVERT(G262,"m^2","ha")</f>
        <v>4.0232505</v>
      </c>
      <c r="K262" s="0" t="b">
        <f aca="false">IF(J262&gt;(I262*2),((ROUNDDOWN(J262/I262,0))-1))</f>
        <v>0</v>
      </c>
    </row>
    <row r="263" customFormat="false" ht="12.75" hidden="false" customHeight="false" outlineLevel="0" collapsed="false">
      <c r="A263" s="5" t="n">
        <v>2664</v>
      </c>
      <c r="B263" s="6" t="s">
        <v>539</v>
      </c>
      <c r="C263" s="6" t="s">
        <v>12</v>
      </c>
      <c r="D263" s="6" t="s">
        <v>540</v>
      </c>
      <c r="E263" s="6" t="s">
        <v>14</v>
      </c>
      <c r="F263" s="7" t="n">
        <v>21171.936023325</v>
      </c>
      <c r="G263" s="7" t="n">
        <v>21171.936</v>
      </c>
      <c r="H263" s="6" t="s">
        <v>15</v>
      </c>
      <c r="I263" s="0" t="n">
        <v>4</v>
      </c>
      <c r="J263" s="1" t="n">
        <f aca="false">CONVERT(G263,"m^2","ha")</f>
        <v>2.1171936</v>
      </c>
      <c r="K263" s="0" t="b">
        <f aca="false">IF(J263&gt;(I263*2),((ROUNDDOWN(J263/I263,0))-1))</f>
        <v>0</v>
      </c>
    </row>
    <row r="264" customFormat="false" ht="12.75" hidden="false" customHeight="false" outlineLevel="0" collapsed="false">
      <c r="A264" s="5" t="n">
        <v>2666</v>
      </c>
      <c r="B264" s="6" t="s">
        <v>541</v>
      </c>
      <c r="C264" s="6" t="s">
        <v>12</v>
      </c>
      <c r="D264" s="6" t="s">
        <v>542</v>
      </c>
      <c r="E264" s="6" t="s">
        <v>14</v>
      </c>
      <c r="F264" s="7" t="n">
        <v>43608.82513366</v>
      </c>
      <c r="G264" s="7" t="n">
        <v>43608.825</v>
      </c>
      <c r="H264" s="6" t="s">
        <v>15</v>
      </c>
      <c r="I264" s="0" t="n">
        <v>4</v>
      </c>
      <c r="J264" s="1" t="n">
        <f aca="false">CONVERT(G264,"m^2","ha")</f>
        <v>4.3608825</v>
      </c>
      <c r="K264" s="0" t="b">
        <f aca="false">IF(J264&gt;(I264*2),((ROUNDDOWN(J264/I264,0))-1))</f>
        <v>0</v>
      </c>
    </row>
    <row r="265" customFormat="false" ht="12.75" hidden="false" customHeight="false" outlineLevel="0" collapsed="false">
      <c r="A265" s="5" t="n">
        <v>2668</v>
      </c>
      <c r="B265" s="6" t="s">
        <v>543</v>
      </c>
      <c r="C265" s="6" t="s">
        <v>12</v>
      </c>
      <c r="D265" s="6" t="s">
        <v>544</v>
      </c>
      <c r="E265" s="6" t="s">
        <v>14</v>
      </c>
      <c r="F265" s="7" t="n">
        <v>20215.278093595</v>
      </c>
      <c r="G265" s="7" t="n">
        <v>20215.278</v>
      </c>
      <c r="H265" s="6" t="s">
        <v>15</v>
      </c>
      <c r="I265" s="0" t="n">
        <v>4</v>
      </c>
      <c r="J265" s="1" t="n">
        <f aca="false">CONVERT(G265,"m^2","ha")</f>
        <v>2.0215278</v>
      </c>
      <c r="K265" s="0" t="b">
        <f aca="false">IF(J265&gt;(I265*2),((ROUNDDOWN(J265/I265,0))-1))</f>
        <v>0</v>
      </c>
    </row>
    <row r="266" customFormat="false" ht="12.75" hidden="false" customHeight="false" outlineLevel="0" collapsed="false">
      <c r="A266" s="5" t="n">
        <v>2671</v>
      </c>
      <c r="B266" s="6" t="s">
        <v>545</v>
      </c>
      <c r="C266" s="6" t="s">
        <v>12</v>
      </c>
      <c r="D266" s="6" t="s">
        <v>546</v>
      </c>
      <c r="E266" s="6" t="s">
        <v>14</v>
      </c>
      <c r="F266" s="7" t="n">
        <v>19846.876474995</v>
      </c>
      <c r="G266" s="7" t="n">
        <v>19846.876</v>
      </c>
      <c r="H266" s="6" t="s">
        <v>15</v>
      </c>
      <c r="I266" s="0" t="n">
        <v>4</v>
      </c>
      <c r="J266" s="1" t="n">
        <f aca="false">CONVERT(G266,"m^2","ha")</f>
        <v>1.9846876</v>
      </c>
      <c r="K266" s="0" t="b">
        <f aca="false">IF(J266&gt;(I266*2),((ROUNDDOWN(J266/I266,0))-1))</f>
        <v>0</v>
      </c>
    </row>
    <row r="267" customFormat="false" ht="12.75" hidden="false" customHeight="false" outlineLevel="0" collapsed="false">
      <c r="A267" s="5" t="n">
        <v>2673</v>
      </c>
      <c r="B267" s="6" t="s">
        <v>547</v>
      </c>
      <c r="C267" s="6" t="s">
        <v>12</v>
      </c>
      <c r="D267" s="6" t="s">
        <v>548</v>
      </c>
      <c r="E267" s="6" t="s">
        <v>14</v>
      </c>
      <c r="F267" s="7" t="n">
        <v>38564.286273915</v>
      </c>
      <c r="G267" s="7" t="n">
        <v>38564.286</v>
      </c>
      <c r="H267" s="6" t="s">
        <v>15</v>
      </c>
      <c r="I267" s="0" t="n">
        <v>4</v>
      </c>
      <c r="J267" s="1" t="n">
        <f aca="false">CONVERT(G267,"m^2","ha")</f>
        <v>3.8564286</v>
      </c>
      <c r="K267" s="0" t="b">
        <f aca="false">IF(J267&gt;(I267*2),((ROUNDDOWN(J267/I267,0))-1))</f>
        <v>0</v>
      </c>
    </row>
    <row r="268" customFormat="false" ht="12.75" hidden="false" customHeight="false" outlineLevel="0" collapsed="false">
      <c r="A268" s="5" t="n">
        <v>2674</v>
      </c>
      <c r="B268" s="6" t="s">
        <v>549</v>
      </c>
      <c r="C268" s="6" t="s">
        <v>12</v>
      </c>
      <c r="D268" s="6" t="s">
        <v>550</v>
      </c>
      <c r="E268" s="6" t="s">
        <v>14</v>
      </c>
      <c r="F268" s="7" t="n">
        <v>39882.90943256</v>
      </c>
      <c r="G268" s="7" t="n">
        <v>39882.909</v>
      </c>
      <c r="H268" s="6" t="s">
        <v>15</v>
      </c>
      <c r="I268" s="0" t="n">
        <v>4</v>
      </c>
      <c r="J268" s="1" t="n">
        <f aca="false">CONVERT(G268,"m^2","ha")</f>
        <v>3.9882909</v>
      </c>
      <c r="K268" s="0" t="b">
        <f aca="false">IF(J268&gt;(I268*2),((ROUNDDOWN(J268/I268,0))-1))</f>
        <v>0</v>
      </c>
    </row>
    <row r="269" customFormat="false" ht="12.75" hidden="false" customHeight="false" outlineLevel="0" collapsed="false">
      <c r="A269" s="5" t="n">
        <v>2682</v>
      </c>
      <c r="B269" s="6" t="s">
        <v>551</v>
      </c>
      <c r="C269" s="6" t="s">
        <v>12</v>
      </c>
      <c r="D269" s="6" t="s">
        <v>552</v>
      </c>
      <c r="E269" s="6" t="s">
        <v>14</v>
      </c>
      <c r="F269" s="7" t="n">
        <v>20474.355824715</v>
      </c>
      <c r="G269" s="7" t="n">
        <v>20474.356</v>
      </c>
      <c r="H269" s="6" t="s">
        <v>15</v>
      </c>
      <c r="I269" s="0" t="n">
        <v>4</v>
      </c>
      <c r="J269" s="1" t="n">
        <f aca="false">CONVERT(G269,"m^2","ha")</f>
        <v>2.0474356</v>
      </c>
      <c r="K269" s="0" t="b">
        <f aca="false">IF(J269&gt;(I269*2),((ROUNDDOWN(J269/I269,0))-1))</f>
        <v>0</v>
      </c>
    </row>
    <row r="270" customFormat="false" ht="12.75" hidden="false" customHeight="false" outlineLevel="0" collapsed="false">
      <c r="A270" s="5" t="n">
        <v>2685</v>
      </c>
      <c r="B270" s="6" t="s">
        <v>553</v>
      </c>
      <c r="C270" s="6" t="s">
        <v>12</v>
      </c>
      <c r="D270" s="6" t="s">
        <v>554</v>
      </c>
      <c r="E270" s="6" t="s">
        <v>14</v>
      </c>
      <c r="F270" s="7" t="n">
        <v>20275.91287896</v>
      </c>
      <c r="G270" s="7" t="n">
        <v>20275.913</v>
      </c>
      <c r="H270" s="6" t="s">
        <v>15</v>
      </c>
      <c r="I270" s="0" t="n">
        <v>4</v>
      </c>
      <c r="J270" s="1" t="n">
        <f aca="false">CONVERT(G270,"m^2","ha")</f>
        <v>2.0275913</v>
      </c>
      <c r="K270" s="0" t="b">
        <f aca="false">IF(J270&gt;(I270*2),((ROUNDDOWN(J270/I270,0))-1))</f>
        <v>0</v>
      </c>
    </row>
    <row r="271" customFormat="false" ht="12.75" hidden="false" customHeight="false" outlineLevel="0" collapsed="false">
      <c r="A271" s="5" t="n">
        <v>2687</v>
      </c>
      <c r="B271" s="6" t="s">
        <v>555</v>
      </c>
      <c r="C271" s="6" t="s">
        <v>12</v>
      </c>
      <c r="D271" s="6" t="s">
        <v>556</v>
      </c>
      <c r="E271" s="6" t="s">
        <v>14</v>
      </c>
      <c r="F271" s="7" t="n">
        <v>37475.14230593</v>
      </c>
      <c r="G271" s="7" t="n">
        <v>37475.142</v>
      </c>
      <c r="H271" s="6" t="s">
        <v>15</v>
      </c>
      <c r="I271" s="0" t="n">
        <v>4</v>
      </c>
      <c r="J271" s="1" t="n">
        <f aca="false">CONVERT(G271,"m^2","ha")</f>
        <v>3.7475142</v>
      </c>
      <c r="K271" s="0" t="b">
        <f aca="false">IF(J271&gt;(I271*2),((ROUNDDOWN(J271/I271,0))-1))</f>
        <v>0</v>
      </c>
    </row>
    <row r="272" customFormat="false" ht="12.75" hidden="false" customHeight="false" outlineLevel="0" collapsed="false">
      <c r="A272" s="5" t="n">
        <v>2692</v>
      </c>
      <c r="B272" s="6" t="s">
        <v>557</v>
      </c>
      <c r="C272" s="6" t="s">
        <v>12</v>
      </c>
      <c r="D272" s="6" t="s">
        <v>558</v>
      </c>
      <c r="E272" s="6" t="s">
        <v>14</v>
      </c>
      <c r="F272" s="7" t="n">
        <v>40820.4893494</v>
      </c>
      <c r="G272" s="7" t="n">
        <v>40820.489</v>
      </c>
      <c r="H272" s="6" t="s">
        <v>15</v>
      </c>
      <c r="I272" s="0" t="n">
        <v>4</v>
      </c>
      <c r="J272" s="1" t="n">
        <f aca="false">CONVERT(G272,"m^2","ha")</f>
        <v>4.0820489</v>
      </c>
      <c r="K272" s="0" t="b">
        <f aca="false">IF(J272&gt;(I272*2),((ROUNDDOWN(J272/I272,0))-1))</f>
        <v>0</v>
      </c>
    </row>
    <row r="273" customFormat="false" ht="12.75" hidden="false" customHeight="false" outlineLevel="0" collapsed="false">
      <c r="A273" s="5" t="n">
        <v>2693</v>
      </c>
      <c r="B273" s="6" t="s">
        <v>559</v>
      </c>
      <c r="C273" s="6" t="s">
        <v>12</v>
      </c>
      <c r="D273" s="6" t="s">
        <v>560</v>
      </c>
      <c r="E273" s="6" t="s">
        <v>14</v>
      </c>
      <c r="F273" s="7" t="n">
        <v>20512.53350736</v>
      </c>
      <c r="G273" s="7" t="n">
        <v>20512.534</v>
      </c>
      <c r="H273" s="6" t="s">
        <v>15</v>
      </c>
      <c r="I273" s="0" t="n">
        <v>4</v>
      </c>
      <c r="J273" s="1" t="n">
        <f aca="false">CONVERT(G273,"m^2","ha")</f>
        <v>2.0512534</v>
      </c>
      <c r="K273" s="0" t="b">
        <f aca="false">IF(J273&gt;(I273*2),((ROUNDDOWN(J273/I273,0))-1))</f>
        <v>0</v>
      </c>
    </row>
    <row r="274" customFormat="false" ht="12.75" hidden="false" customHeight="false" outlineLevel="0" collapsed="false">
      <c r="A274" s="5" t="n">
        <v>2698</v>
      </c>
      <c r="B274" s="6" t="s">
        <v>561</v>
      </c>
      <c r="C274" s="6" t="s">
        <v>12</v>
      </c>
      <c r="D274" s="6" t="s">
        <v>562</v>
      </c>
      <c r="E274" s="6" t="s">
        <v>14</v>
      </c>
      <c r="F274" s="7" t="n">
        <v>41850.89070979</v>
      </c>
      <c r="G274" s="7" t="n">
        <v>41850.925</v>
      </c>
      <c r="H274" s="6" t="s">
        <v>15</v>
      </c>
      <c r="I274" s="0" t="n">
        <v>4</v>
      </c>
      <c r="J274" s="1" t="n">
        <f aca="false">CONVERT(G274,"m^2","ha")</f>
        <v>4.1850925</v>
      </c>
      <c r="K274" s="0" t="b">
        <f aca="false">IF(J274&gt;(I274*2),((ROUNDDOWN(J274/I274,0))-1))</f>
        <v>0</v>
      </c>
    </row>
    <row r="275" customFormat="false" ht="12.75" hidden="false" customHeight="false" outlineLevel="0" collapsed="false">
      <c r="A275" s="5" t="n">
        <v>2784</v>
      </c>
      <c r="B275" s="6" t="s">
        <v>563</v>
      </c>
      <c r="C275" s="6" t="s">
        <v>12</v>
      </c>
      <c r="D275" s="6" t="s">
        <v>564</v>
      </c>
      <c r="E275" s="6" t="s">
        <v>14</v>
      </c>
      <c r="F275" s="7" t="n">
        <v>40425.169553885</v>
      </c>
      <c r="G275" s="7" t="n">
        <v>40425.17</v>
      </c>
      <c r="H275" s="6" t="s">
        <v>15</v>
      </c>
      <c r="I275" s="0" t="n">
        <v>4</v>
      </c>
      <c r="J275" s="1" t="n">
        <f aca="false">CONVERT(G275,"m^2","ha")</f>
        <v>4.042517</v>
      </c>
      <c r="K275" s="0" t="b">
        <f aca="false">IF(J275&gt;(I275*2),((ROUNDDOWN(J275/I275,0))-1))</f>
        <v>0</v>
      </c>
    </row>
    <row r="277" customFormat="false" ht="12.75" hidden="false" customHeight="false" outlineLevel="0" collapsed="false">
      <c r="K277" s="0" t="n">
        <f aca="false">SUM(K2:K275)</f>
        <v>98</v>
      </c>
    </row>
  </sheetData>
  <printOptions headings="false" gridLines="false" gridLinesSet="true" horizontalCentered="true" verticalCentered="false"/>
  <pageMargins left="0.3" right="0.3" top="0.609722222222222" bottom="0.370138888888889" header="0.1" footer="0.1"/>
  <pageSetup paperSize="9" scale="100" fitToWidth="1" fitToHeight="1" pageOrder="overThenDown" orientation="portrait" blackAndWhite="false" draft="false" cellComments="none" firstPageNumber="1" useFirstPageNumber="true" horizontalDpi="300" verticalDpi="300" copies="1"/>
  <headerFooter differentFirst="false" differentOddEven="false">
    <oddHeader>&amp;C&amp;P</oddHeader>
    <oddFooter>&amp;C&amp;F</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K116" activeCellId="0" sqref="K116"/>
    </sheetView>
  </sheetViews>
  <sheetFormatPr defaultColWidth="8.6875" defaultRowHeight="12.75" zeroHeight="false" outlineLevelRow="0" outlineLevelCol="0"/>
  <cols>
    <col collapsed="false" customWidth="true" hidden="false" outlineLevel="0" max="1" min="1" style="0" width="16"/>
    <col collapsed="false" customWidth="true" hidden="false" outlineLevel="0" max="2" min="2" style="0" width="9"/>
    <col collapsed="false" customWidth="true" hidden="false" outlineLevel="0" max="3" min="3" style="0" width="18.89"/>
    <col collapsed="false" customWidth="true" hidden="false" outlineLevel="0" max="5" min="4" style="0" width="23.78"/>
    <col collapsed="false" customWidth="true" hidden="false" outlineLevel="0" max="7" min="6" style="0" width="16"/>
    <col collapsed="false" customWidth="true" hidden="false" outlineLevel="0" max="10" min="10" style="1" width="8.89"/>
  </cols>
  <sheetData>
    <row r="1" customFormat="false" ht="14.25" hidden="false" customHeight="false" outlineLevel="0" collapsed="false">
      <c r="A1" s="2" t="s">
        <v>0</v>
      </c>
      <c r="B1" s="2" t="s">
        <v>1</v>
      </c>
      <c r="C1" s="2" t="s">
        <v>2</v>
      </c>
      <c r="D1" s="2" t="s">
        <v>3</v>
      </c>
      <c r="E1" s="2" t="s">
        <v>4</v>
      </c>
      <c r="F1" s="2" t="s">
        <v>5</v>
      </c>
      <c r="G1" s="2" t="s">
        <v>6</v>
      </c>
      <c r="H1" s="2" t="s">
        <v>7</v>
      </c>
      <c r="I1" s="4" t="s">
        <v>8</v>
      </c>
      <c r="J1" s="1" t="s">
        <v>9</v>
      </c>
      <c r="K1" s="0" t="s">
        <v>10</v>
      </c>
    </row>
    <row r="2" customFormat="false" ht="12.75" hidden="false" customHeight="false" outlineLevel="0" collapsed="false">
      <c r="A2" s="5" t="n">
        <v>19</v>
      </c>
      <c r="B2" s="6" t="s">
        <v>565</v>
      </c>
      <c r="C2" s="6" t="s">
        <v>12</v>
      </c>
      <c r="D2" s="6" t="s">
        <v>566</v>
      </c>
      <c r="E2" s="6" t="s">
        <v>14</v>
      </c>
      <c r="F2" s="6" t="n">
        <v>10591.633157585</v>
      </c>
      <c r="G2" s="6" t="n">
        <v>10589.632</v>
      </c>
      <c r="H2" s="0" t="s">
        <v>567</v>
      </c>
      <c r="I2" s="0" t="n">
        <v>2</v>
      </c>
      <c r="J2" s="1" t="n">
        <f aca="false">CONVERT(G2,"m^2","ha")</f>
        <v>1.0589632</v>
      </c>
      <c r="K2" s="8" t="b">
        <f aca="false">IF(J2&gt;(I2*2),((ROUNDDOWN(J2/I2,0))-1))</f>
        <v>0</v>
      </c>
    </row>
    <row r="3" customFormat="false" ht="12.75" hidden="false" customHeight="false" outlineLevel="0" collapsed="false">
      <c r="A3" s="5" t="n">
        <v>51</v>
      </c>
      <c r="B3" s="6" t="s">
        <v>568</v>
      </c>
      <c r="C3" s="6" t="s">
        <v>12</v>
      </c>
      <c r="D3" s="6" t="s">
        <v>569</v>
      </c>
      <c r="E3" s="6" t="s">
        <v>14</v>
      </c>
      <c r="F3" s="6" t="n">
        <v>43757.011088305</v>
      </c>
      <c r="G3" s="6" t="n">
        <v>43757.011</v>
      </c>
      <c r="H3" s="0" t="s">
        <v>567</v>
      </c>
      <c r="I3" s="0" t="n">
        <v>2</v>
      </c>
      <c r="J3" s="1" t="n">
        <f aca="false">CONVERT(G3,"m^2","ha")</f>
        <v>4.3757011</v>
      </c>
      <c r="K3" s="0" t="n">
        <f aca="false">IF(J3&gt;(I3*2),((ROUNDDOWN(J3/I3,0))-1))</f>
        <v>1</v>
      </c>
    </row>
    <row r="4" customFormat="false" ht="12.75" hidden="false" customHeight="false" outlineLevel="0" collapsed="false">
      <c r="A4" s="5" t="n">
        <v>61</v>
      </c>
      <c r="B4" s="6" t="s">
        <v>570</v>
      </c>
      <c r="C4" s="6" t="s">
        <v>12</v>
      </c>
      <c r="D4" s="6" t="s">
        <v>571</v>
      </c>
      <c r="E4" s="6" t="s">
        <v>14</v>
      </c>
      <c r="F4" s="6" t="n">
        <v>19346.551769945</v>
      </c>
      <c r="G4" s="6" t="n">
        <v>19346.552</v>
      </c>
      <c r="H4" s="0" t="s">
        <v>567</v>
      </c>
      <c r="I4" s="0" t="n">
        <v>2</v>
      </c>
      <c r="J4" s="1" t="n">
        <f aca="false">CONVERT(G4,"m^2","ha")</f>
        <v>1.9346552</v>
      </c>
      <c r="K4" s="0" t="b">
        <f aca="false">IF(J4&gt;(I4*2),((ROUNDDOWN(J4/I4,0))-1))</f>
        <v>0</v>
      </c>
    </row>
    <row r="5" customFormat="false" ht="12.75" hidden="false" customHeight="false" outlineLevel="0" collapsed="false">
      <c r="A5" s="5" t="n">
        <v>104</v>
      </c>
      <c r="B5" s="6" t="s">
        <v>572</v>
      </c>
      <c r="C5" s="6" t="s">
        <v>12</v>
      </c>
      <c r="D5" s="6" t="s">
        <v>573</v>
      </c>
      <c r="E5" s="6" t="s">
        <v>14</v>
      </c>
      <c r="F5" s="6" t="n">
        <v>24759.96010971</v>
      </c>
      <c r="G5" s="6" t="n">
        <v>24759.96</v>
      </c>
      <c r="H5" s="0" t="s">
        <v>567</v>
      </c>
      <c r="I5" s="0" t="n">
        <v>2</v>
      </c>
      <c r="J5" s="1" t="n">
        <f aca="false">CONVERT(G5,"m^2","ha")</f>
        <v>2.475996</v>
      </c>
      <c r="K5" s="0" t="b">
        <f aca="false">IF(J5&gt;(I5*2),((ROUNDDOWN(J5/I5,0))-1))</f>
        <v>0</v>
      </c>
    </row>
    <row r="6" customFormat="false" ht="12.75" hidden="false" customHeight="false" outlineLevel="0" collapsed="false">
      <c r="A6" s="5" t="n">
        <v>126</v>
      </c>
      <c r="B6" s="6" t="s">
        <v>574</v>
      </c>
      <c r="C6" s="6" t="s">
        <v>12</v>
      </c>
      <c r="D6" s="6" t="s">
        <v>575</v>
      </c>
      <c r="E6" s="6" t="s">
        <v>14</v>
      </c>
      <c r="F6" s="6" t="n">
        <v>20212.628136045</v>
      </c>
      <c r="G6" s="6" t="n">
        <v>20212.628</v>
      </c>
      <c r="H6" s="0" t="s">
        <v>567</v>
      </c>
      <c r="I6" s="0" t="n">
        <v>2</v>
      </c>
      <c r="J6" s="1" t="n">
        <f aca="false">CONVERT(G6,"m^2","ha")</f>
        <v>2.0212628</v>
      </c>
      <c r="K6" s="0" t="b">
        <f aca="false">IF(J6&gt;(I6*2),((ROUNDDOWN(J6/I6,0))-1))</f>
        <v>0</v>
      </c>
    </row>
    <row r="7" customFormat="false" ht="12.75" hidden="false" customHeight="false" outlineLevel="0" collapsed="false">
      <c r="A7" s="5" t="n">
        <v>164</v>
      </c>
      <c r="B7" s="6" t="s">
        <v>576</v>
      </c>
      <c r="C7" s="6" t="s">
        <v>12</v>
      </c>
      <c r="D7" s="6" t="s">
        <v>577</v>
      </c>
      <c r="E7" s="6" t="s">
        <v>14</v>
      </c>
      <c r="F7" s="6" t="n">
        <v>84275.74070425</v>
      </c>
      <c r="G7" s="6" t="n">
        <v>84275.741</v>
      </c>
      <c r="H7" s="0" t="s">
        <v>567</v>
      </c>
      <c r="I7" s="0" t="n">
        <v>2</v>
      </c>
      <c r="J7" s="1" t="n">
        <f aca="false">CONVERT(G7,"m^2","ha")</f>
        <v>8.4275741</v>
      </c>
      <c r="K7" s="0" t="n">
        <f aca="false">IF(J7&gt;(I7*2),((ROUNDDOWN(J7/I7,0))-1))</f>
        <v>3</v>
      </c>
    </row>
    <row r="8" customFormat="false" ht="12.75" hidden="false" customHeight="false" outlineLevel="0" collapsed="false">
      <c r="A8" s="5" t="n">
        <v>212</v>
      </c>
      <c r="B8" s="6" t="s">
        <v>578</v>
      </c>
      <c r="C8" s="6" t="s">
        <v>12</v>
      </c>
      <c r="D8" s="6" t="s">
        <v>579</v>
      </c>
      <c r="E8" s="6" t="s">
        <v>14</v>
      </c>
      <c r="F8" s="6" t="n">
        <v>11223.499695555</v>
      </c>
      <c r="G8" s="6" t="n">
        <v>11223.5</v>
      </c>
      <c r="H8" s="0" t="s">
        <v>567</v>
      </c>
      <c r="I8" s="0" t="n">
        <v>2</v>
      </c>
      <c r="J8" s="1" t="n">
        <f aca="false">CONVERT(G8,"m^2","ha")</f>
        <v>1.12235</v>
      </c>
      <c r="K8" s="0" t="b">
        <f aca="false">IF(J8&gt;(I8*2),((ROUNDDOWN(J8/I8,0))-1))</f>
        <v>0</v>
      </c>
    </row>
    <row r="9" customFormat="false" ht="12.75" hidden="false" customHeight="false" outlineLevel="0" collapsed="false">
      <c r="A9" s="5" t="n">
        <v>281</v>
      </c>
      <c r="B9" s="6" t="s">
        <v>580</v>
      </c>
      <c r="C9" s="6" t="s">
        <v>12</v>
      </c>
      <c r="D9" s="6" t="s">
        <v>581</v>
      </c>
      <c r="E9" s="6" t="s">
        <v>14</v>
      </c>
      <c r="F9" s="6" t="n">
        <v>18374.46162963</v>
      </c>
      <c r="G9" s="6" t="n">
        <v>18374.462</v>
      </c>
      <c r="H9" s="0" t="s">
        <v>567</v>
      </c>
      <c r="I9" s="0" t="n">
        <v>2</v>
      </c>
      <c r="J9" s="1" t="n">
        <f aca="false">CONVERT(G9,"m^2","ha")</f>
        <v>1.8374462</v>
      </c>
      <c r="K9" s="0" t="b">
        <f aca="false">IF(J9&gt;(I9*2),((ROUNDDOWN(J9/I9,0))-1))</f>
        <v>0</v>
      </c>
    </row>
    <row r="10" customFormat="false" ht="12.75" hidden="false" customHeight="false" outlineLevel="0" collapsed="false">
      <c r="A10" s="5" t="n">
        <v>316</v>
      </c>
      <c r="B10" s="6" t="s">
        <v>582</v>
      </c>
      <c r="C10" s="6" t="s">
        <v>12</v>
      </c>
      <c r="D10" s="6" t="s">
        <v>583</v>
      </c>
      <c r="E10" s="6" t="s">
        <v>14</v>
      </c>
      <c r="F10" s="6" t="n">
        <v>21751.41565818</v>
      </c>
      <c r="G10" s="6" t="n">
        <v>21751.416</v>
      </c>
      <c r="H10" s="0" t="s">
        <v>567</v>
      </c>
      <c r="I10" s="0" t="n">
        <v>2</v>
      </c>
      <c r="J10" s="1" t="n">
        <f aca="false">CONVERT(G10,"m^2","ha")</f>
        <v>2.1751416</v>
      </c>
      <c r="K10" s="0" t="b">
        <f aca="false">IF(J10&gt;(I10*2),((ROUNDDOWN(J10/I10,0))-1))</f>
        <v>0</v>
      </c>
    </row>
    <row r="11" customFormat="false" ht="12.75" hidden="false" customHeight="false" outlineLevel="0" collapsed="false">
      <c r="A11" s="5" t="n">
        <v>350</v>
      </c>
      <c r="B11" s="6" t="s">
        <v>584</v>
      </c>
      <c r="C11" s="6" t="s">
        <v>12</v>
      </c>
      <c r="D11" s="6" t="s">
        <v>585</v>
      </c>
      <c r="E11" s="6" t="s">
        <v>14</v>
      </c>
      <c r="F11" s="6" t="n">
        <v>10056.547531705</v>
      </c>
      <c r="G11" s="6" t="n">
        <v>10056.548</v>
      </c>
      <c r="H11" s="0" t="s">
        <v>567</v>
      </c>
      <c r="I11" s="0" t="n">
        <v>2</v>
      </c>
      <c r="J11" s="1" t="n">
        <f aca="false">CONVERT(G11,"m^2","ha")</f>
        <v>1.0056548</v>
      </c>
      <c r="K11" s="0" t="b">
        <f aca="false">IF(J11&gt;(I11*2),((ROUNDDOWN(J11/I11,0))-1))</f>
        <v>0</v>
      </c>
    </row>
    <row r="12" customFormat="false" ht="12.75" hidden="false" customHeight="false" outlineLevel="0" collapsed="false">
      <c r="A12" s="5" t="n">
        <v>353</v>
      </c>
      <c r="B12" s="6" t="s">
        <v>586</v>
      </c>
      <c r="C12" s="6" t="s">
        <v>12</v>
      </c>
      <c r="D12" s="6" t="s">
        <v>587</v>
      </c>
      <c r="E12" s="6" t="s">
        <v>14</v>
      </c>
      <c r="F12" s="6" t="n">
        <v>10093.199354465</v>
      </c>
      <c r="G12" s="6" t="n">
        <v>10092.287</v>
      </c>
      <c r="H12" s="0" t="s">
        <v>567</v>
      </c>
      <c r="I12" s="0" t="n">
        <v>2</v>
      </c>
      <c r="J12" s="1" t="n">
        <f aca="false">CONVERT(G12,"m^2","ha")</f>
        <v>1.0092287</v>
      </c>
      <c r="K12" s="0" t="b">
        <f aca="false">IF(J12&gt;(I12*2),((ROUNDDOWN(J12/I12,0))-1))</f>
        <v>0</v>
      </c>
    </row>
    <row r="13" customFormat="false" ht="12.75" hidden="false" customHeight="false" outlineLevel="0" collapsed="false">
      <c r="A13" s="5" t="n">
        <v>361</v>
      </c>
      <c r="B13" s="6" t="s">
        <v>588</v>
      </c>
      <c r="C13" s="6" t="s">
        <v>12</v>
      </c>
      <c r="D13" s="6" t="s">
        <v>589</v>
      </c>
      <c r="E13" s="6" t="s">
        <v>14</v>
      </c>
      <c r="F13" s="6" t="n">
        <v>10054.52766758</v>
      </c>
      <c r="G13" s="6" t="n">
        <v>10054.528</v>
      </c>
      <c r="H13" s="0" t="s">
        <v>567</v>
      </c>
      <c r="I13" s="0" t="n">
        <v>2</v>
      </c>
      <c r="J13" s="1" t="n">
        <f aca="false">CONVERT(G13,"m^2","ha")</f>
        <v>1.0054528</v>
      </c>
      <c r="K13" s="0" t="b">
        <f aca="false">IF(J13&gt;(I13*2),((ROUNDDOWN(J13/I13,0))-1))</f>
        <v>0</v>
      </c>
    </row>
    <row r="14" customFormat="false" ht="12.75" hidden="false" customHeight="false" outlineLevel="0" collapsed="false">
      <c r="A14" s="5" t="n">
        <v>370</v>
      </c>
      <c r="B14" s="6" t="s">
        <v>590</v>
      </c>
      <c r="C14" s="6" t="s">
        <v>12</v>
      </c>
      <c r="D14" s="6" t="s">
        <v>591</v>
      </c>
      <c r="E14" s="6" t="s">
        <v>14</v>
      </c>
      <c r="F14" s="6" t="n">
        <v>20141.25259591</v>
      </c>
      <c r="G14" s="6" t="n">
        <v>20141.253</v>
      </c>
      <c r="H14" s="0" t="s">
        <v>567</v>
      </c>
      <c r="I14" s="0" t="n">
        <v>2</v>
      </c>
      <c r="J14" s="1" t="n">
        <f aca="false">CONVERT(G14,"m^2","ha")</f>
        <v>2.0141253</v>
      </c>
      <c r="K14" s="0" t="b">
        <f aca="false">IF(J14&gt;(I14*2),((ROUNDDOWN(J14/I14,0))-1))</f>
        <v>0</v>
      </c>
    </row>
    <row r="15" customFormat="false" ht="12.75" hidden="false" customHeight="false" outlineLevel="0" collapsed="false">
      <c r="A15" s="5" t="n">
        <v>397</v>
      </c>
      <c r="B15" s="6" t="s">
        <v>592</v>
      </c>
      <c r="C15" s="6" t="s">
        <v>12</v>
      </c>
      <c r="D15" s="6" t="s">
        <v>593</v>
      </c>
      <c r="E15" s="6" t="s">
        <v>14</v>
      </c>
      <c r="F15" s="6" t="n">
        <v>9357.491943865</v>
      </c>
      <c r="G15" s="6" t="n">
        <v>9357.492</v>
      </c>
      <c r="H15" s="0" t="s">
        <v>567</v>
      </c>
      <c r="I15" s="0" t="n">
        <v>2</v>
      </c>
      <c r="J15" s="1" t="n">
        <f aca="false">CONVERT(G15,"m^2","ha")</f>
        <v>0.9357492</v>
      </c>
      <c r="K15" s="0" t="b">
        <f aca="false">IF(J15&gt;(I15*2),((ROUNDDOWN(J15/I15,0))-1))</f>
        <v>0</v>
      </c>
    </row>
    <row r="16" customFormat="false" ht="12.75" hidden="false" customHeight="false" outlineLevel="0" collapsed="false">
      <c r="A16" s="5" t="n">
        <v>398</v>
      </c>
      <c r="B16" s="6" t="s">
        <v>594</v>
      </c>
      <c r="C16" s="6" t="s">
        <v>12</v>
      </c>
      <c r="D16" s="6" t="s">
        <v>595</v>
      </c>
      <c r="E16" s="6" t="s">
        <v>14</v>
      </c>
      <c r="F16" s="6" t="n">
        <v>6540.01544768</v>
      </c>
      <c r="G16" s="6" t="n">
        <v>6540.015</v>
      </c>
      <c r="H16" s="0" t="s">
        <v>567</v>
      </c>
      <c r="I16" s="0" t="n">
        <v>2</v>
      </c>
      <c r="J16" s="1" t="n">
        <f aca="false">CONVERT(G16,"m^2","ha")</f>
        <v>0.6540015</v>
      </c>
      <c r="K16" s="0" t="b">
        <f aca="false">IF(J16&gt;(I16*2),((ROUNDDOWN(J16/I16,0))-1))</f>
        <v>0</v>
      </c>
    </row>
    <row r="17" customFormat="false" ht="12.75" hidden="false" customHeight="false" outlineLevel="0" collapsed="false">
      <c r="A17" s="5" t="n">
        <v>399</v>
      </c>
      <c r="B17" s="6" t="s">
        <v>596</v>
      </c>
      <c r="C17" s="6" t="s">
        <v>12</v>
      </c>
      <c r="D17" s="6" t="s">
        <v>597</v>
      </c>
      <c r="E17" s="6" t="s">
        <v>14</v>
      </c>
      <c r="F17" s="6" t="n">
        <v>9690.28601456</v>
      </c>
      <c r="G17" s="6" t="n">
        <v>9690.286</v>
      </c>
      <c r="H17" s="0" t="s">
        <v>567</v>
      </c>
      <c r="I17" s="0" t="n">
        <v>2</v>
      </c>
      <c r="J17" s="1" t="n">
        <f aca="false">CONVERT(G17,"m^2","ha")</f>
        <v>0.9690286</v>
      </c>
      <c r="K17" s="0" t="b">
        <f aca="false">IF(J17&gt;(I17*2),((ROUNDDOWN(J17/I17,0))-1))</f>
        <v>0</v>
      </c>
    </row>
    <row r="18" customFormat="false" ht="12.75" hidden="false" customHeight="false" outlineLevel="0" collapsed="false">
      <c r="A18" s="5" t="n">
        <v>400</v>
      </c>
      <c r="B18" s="6" t="s">
        <v>598</v>
      </c>
      <c r="C18" s="6" t="s">
        <v>12</v>
      </c>
      <c r="D18" s="6" t="s">
        <v>599</v>
      </c>
      <c r="E18" s="6" t="s">
        <v>14</v>
      </c>
      <c r="F18" s="6" t="n">
        <v>9448.330527615</v>
      </c>
      <c r="G18" s="6" t="n">
        <v>9448.331</v>
      </c>
      <c r="H18" s="0" t="s">
        <v>567</v>
      </c>
      <c r="I18" s="0" t="n">
        <v>2</v>
      </c>
      <c r="J18" s="1" t="n">
        <f aca="false">CONVERT(G18,"m^2","ha")</f>
        <v>0.9448331</v>
      </c>
      <c r="K18" s="0" t="b">
        <f aca="false">IF(J18&gt;(I18*2),((ROUNDDOWN(J18/I18,0))-1))</f>
        <v>0</v>
      </c>
    </row>
    <row r="19" customFormat="false" ht="12.75" hidden="false" customHeight="false" outlineLevel="0" collapsed="false">
      <c r="A19" s="5" t="n">
        <v>401</v>
      </c>
      <c r="B19" s="6" t="s">
        <v>600</v>
      </c>
      <c r="C19" s="6" t="s">
        <v>12</v>
      </c>
      <c r="D19" s="6" t="s">
        <v>601</v>
      </c>
      <c r="E19" s="6" t="s">
        <v>14</v>
      </c>
      <c r="F19" s="6" t="n">
        <v>8149.35112395</v>
      </c>
      <c r="G19" s="6" t="n">
        <v>8149.351</v>
      </c>
      <c r="H19" s="0" t="s">
        <v>567</v>
      </c>
      <c r="I19" s="0" t="n">
        <v>2</v>
      </c>
      <c r="J19" s="1" t="n">
        <f aca="false">CONVERT(G19,"m^2","ha")</f>
        <v>0.8149351</v>
      </c>
      <c r="K19" s="0" t="b">
        <f aca="false">IF(J19&gt;(I19*2),((ROUNDDOWN(J19/I19,0))-1))</f>
        <v>0</v>
      </c>
    </row>
    <row r="20" customFormat="false" ht="12.75" hidden="false" customHeight="false" outlineLevel="0" collapsed="false">
      <c r="A20" s="5" t="n">
        <v>402</v>
      </c>
      <c r="B20" s="6" t="s">
        <v>602</v>
      </c>
      <c r="C20" s="6" t="s">
        <v>12</v>
      </c>
      <c r="D20" s="6" t="s">
        <v>603</v>
      </c>
      <c r="E20" s="6" t="s">
        <v>14</v>
      </c>
      <c r="F20" s="6" t="n">
        <v>9050.081150795</v>
      </c>
      <c r="G20" s="6" t="n">
        <v>9050.081</v>
      </c>
      <c r="H20" s="0" t="s">
        <v>567</v>
      </c>
      <c r="I20" s="0" t="n">
        <v>2</v>
      </c>
      <c r="J20" s="1" t="n">
        <f aca="false">CONVERT(G20,"m^2","ha")</f>
        <v>0.9050081</v>
      </c>
      <c r="K20" s="0" t="b">
        <f aca="false">IF(J20&gt;(I20*2),((ROUNDDOWN(J20/I20,0))-1))</f>
        <v>0</v>
      </c>
    </row>
    <row r="21" customFormat="false" ht="12.75" hidden="false" customHeight="false" outlineLevel="0" collapsed="false">
      <c r="A21" s="5" t="n">
        <v>403</v>
      </c>
      <c r="B21" s="6" t="s">
        <v>604</v>
      </c>
      <c r="C21" s="6" t="s">
        <v>12</v>
      </c>
      <c r="D21" s="6" t="s">
        <v>605</v>
      </c>
      <c r="E21" s="6" t="s">
        <v>14</v>
      </c>
      <c r="F21" s="6" t="n">
        <v>9954.71023738</v>
      </c>
      <c r="G21" s="6" t="n">
        <v>9954.71</v>
      </c>
      <c r="H21" s="0" t="s">
        <v>567</v>
      </c>
      <c r="I21" s="0" t="n">
        <v>2</v>
      </c>
      <c r="J21" s="1" t="n">
        <f aca="false">CONVERT(G21,"m^2","ha")</f>
        <v>0.995471</v>
      </c>
      <c r="K21" s="0" t="b">
        <f aca="false">IF(J21&gt;(I21*2),((ROUNDDOWN(J21/I21,0))-1))</f>
        <v>0</v>
      </c>
    </row>
    <row r="22" customFormat="false" ht="12.75" hidden="false" customHeight="false" outlineLevel="0" collapsed="false">
      <c r="A22" s="5" t="n">
        <v>407</v>
      </c>
      <c r="B22" s="6" t="s">
        <v>606</v>
      </c>
      <c r="C22" s="6" t="s">
        <v>12</v>
      </c>
      <c r="D22" s="6" t="s">
        <v>607</v>
      </c>
      <c r="E22" s="6" t="s">
        <v>14</v>
      </c>
      <c r="F22" s="6" t="n">
        <v>9394.206554975</v>
      </c>
      <c r="G22" s="6" t="n">
        <v>9394.207</v>
      </c>
      <c r="H22" s="0" t="s">
        <v>567</v>
      </c>
      <c r="I22" s="0" t="n">
        <v>2</v>
      </c>
      <c r="J22" s="1" t="n">
        <f aca="false">CONVERT(G22,"m^2","ha")</f>
        <v>0.9394207</v>
      </c>
      <c r="K22" s="0" t="b">
        <f aca="false">IF(J22&gt;(I22*2),((ROUNDDOWN(J22/I22,0))-1))</f>
        <v>0</v>
      </c>
    </row>
    <row r="23" customFormat="false" ht="12.75" hidden="false" customHeight="false" outlineLevel="0" collapsed="false">
      <c r="A23" s="5" t="n">
        <v>408</v>
      </c>
      <c r="B23" s="6" t="s">
        <v>608</v>
      </c>
      <c r="C23" s="6" t="s">
        <v>12</v>
      </c>
      <c r="D23" s="6" t="s">
        <v>609</v>
      </c>
      <c r="E23" s="6" t="s">
        <v>14</v>
      </c>
      <c r="F23" s="6" t="n">
        <v>9424.692320445</v>
      </c>
      <c r="G23" s="6" t="n">
        <v>9424.692</v>
      </c>
      <c r="H23" s="0" t="s">
        <v>567</v>
      </c>
      <c r="I23" s="0" t="n">
        <v>2</v>
      </c>
      <c r="J23" s="1" t="n">
        <f aca="false">CONVERT(G23,"m^2","ha")</f>
        <v>0.9424692</v>
      </c>
      <c r="K23" s="0" t="b">
        <f aca="false">IF(J23&gt;(I23*2),((ROUNDDOWN(J23/I23,0))-1))</f>
        <v>0</v>
      </c>
    </row>
    <row r="24" customFormat="false" ht="12.75" hidden="false" customHeight="false" outlineLevel="0" collapsed="false">
      <c r="A24" s="5" t="n">
        <v>409</v>
      </c>
      <c r="B24" s="6" t="s">
        <v>610</v>
      </c>
      <c r="C24" s="6" t="s">
        <v>12</v>
      </c>
      <c r="D24" s="6" t="s">
        <v>611</v>
      </c>
      <c r="E24" s="6" t="s">
        <v>14</v>
      </c>
      <c r="F24" s="6" t="n">
        <v>9401.53202637</v>
      </c>
      <c r="G24" s="6" t="n">
        <v>9401.532</v>
      </c>
      <c r="H24" s="0" t="s">
        <v>567</v>
      </c>
      <c r="I24" s="0" t="n">
        <v>2</v>
      </c>
      <c r="J24" s="1" t="n">
        <f aca="false">CONVERT(G24,"m^2","ha")</f>
        <v>0.9401532</v>
      </c>
      <c r="K24" s="0" t="b">
        <f aca="false">IF(J24&gt;(I24*2),((ROUNDDOWN(J24/I24,0))-1))</f>
        <v>0</v>
      </c>
    </row>
    <row r="25" customFormat="false" ht="12.75" hidden="false" customHeight="false" outlineLevel="0" collapsed="false">
      <c r="A25" s="5" t="n">
        <v>410</v>
      </c>
      <c r="B25" s="6" t="s">
        <v>612</v>
      </c>
      <c r="C25" s="6" t="s">
        <v>12</v>
      </c>
      <c r="D25" s="6" t="s">
        <v>613</v>
      </c>
      <c r="E25" s="6" t="s">
        <v>14</v>
      </c>
      <c r="F25" s="6" t="n">
        <v>6151.51266651</v>
      </c>
      <c r="G25" s="6" t="n">
        <v>6151.513</v>
      </c>
      <c r="H25" s="0" t="s">
        <v>567</v>
      </c>
      <c r="I25" s="0" t="n">
        <v>2</v>
      </c>
      <c r="J25" s="1" t="n">
        <f aca="false">CONVERT(G25,"m^2","ha")</f>
        <v>0.6151513</v>
      </c>
      <c r="K25" s="0" t="b">
        <f aca="false">IF(J25&gt;(I25*2),((ROUNDDOWN(J25/I25,0))-1))</f>
        <v>0</v>
      </c>
    </row>
    <row r="26" customFormat="false" ht="12.75" hidden="false" customHeight="false" outlineLevel="0" collapsed="false">
      <c r="A26" s="5" t="n">
        <v>411</v>
      </c>
      <c r="B26" s="6" t="s">
        <v>614</v>
      </c>
      <c r="C26" s="6" t="s">
        <v>12</v>
      </c>
      <c r="D26" s="6" t="s">
        <v>615</v>
      </c>
      <c r="E26" s="6" t="s">
        <v>14</v>
      </c>
      <c r="F26" s="6" t="n">
        <v>9510.30640385</v>
      </c>
      <c r="G26" s="6" t="n">
        <v>9510.306</v>
      </c>
      <c r="H26" s="0" t="s">
        <v>567</v>
      </c>
      <c r="I26" s="0" t="n">
        <v>2</v>
      </c>
      <c r="J26" s="1" t="n">
        <f aca="false">CONVERT(G26,"m^2","ha")</f>
        <v>0.9510306</v>
      </c>
      <c r="K26" s="0" t="b">
        <f aca="false">IF(J26&gt;(I26*2),((ROUNDDOWN(J26/I26,0))-1))</f>
        <v>0</v>
      </c>
    </row>
    <row r="27" customFormat="false" ht="12.75" hidden="false" customHeight="false" outlineLevel="0" collapsed="false">
      <c r="A27" s="5" t="n">
        <v>413</v>
      </c>
      <c r="B27" s="6" t="s">
        <v>616</v>
      </c>
      <c r="C27" s="6" t="s">
        <v>12</v>
      </c>
      <c r="D27" s="6" t="s">
        <v>617</v>
      </c>
      <c r="E27" s="6" t="s">
        <v>14</v>
      </c>
      <c r="F27" s="6" t="n">
        <v>5916.69343368</v>
      </c>
      <c r="G27" s="6" t="n">
        <v>5916.693</v>
      </c>
      <c r="H27" s="0" t="s">
        <v>567</v>
      </c>
      <c r="I27" s="0" t="n">
        <v>2</v>
      </c>
      <c r="J27" s="1" t="n">
        <f aca="false">CONVERT(G27,"m^2","ha")</f>
        <v>0.5916693</v>
      </c>
      <c r="K27" s="0" t="b">
        <f aca="false">IF(J27&gt;(I27*2),((ROUNDDOWN(J27/I27,0))-1))</f>
        <v>0</v>
      </c>
    </row>
    <row r="28" customFormat="false" ht="12.75" hidden="false" customHeight="false" outlineLevel="0" collapsed="false">
      <c r="A28" s="5" t="n">
        <v>415</v>
      </c>
      <c r="B28" s="6" t="s">
        <v>618</v>
      </c>
      <c r="C28" s="6" t="s">
        <v>12</v>
      </c>
      <c r="D28" s="6" t="s">
        <v>619</v>
      </c>
      <c r="E28" s="6" t="s">
        <v>14</v>
      </c>
      <c r="F28" s="6" t="n">
        <v>9349.89830058</v>
      </c>
      <c r="G28" s="6" t="n">
        <v>9349.898</v>
      </c>
      <c r="H28" s="0" t="s">
        <v>567</v>
      </c>
      <c r="I28" s="0" t="n">
        <v>2</v>
      </c>
      <c r="J28" s="1" t="n">
        <f aca="false">CONVERT(G28,"m^2","ha")</f>
        <v>0.9349898</v>
      </c>
      <c r="K28" s="0" t="b">
        <f aca="false">IF(J28&gt;(I28*2),((ROUNDDOWN(J28/I28,0))-1))</f>
        <v>0</v>
      </c>
    </row>
    <row r="29" customFormat="false" ht="12.75" hidden="false" customHeight="false" outlineLevel="0" collapsed="false">
      <c r="A29" s="5" t="n">
        <v>416</v>
      </c>
      <c r="B29" s="6" t="s">
        <v>620</v>
      </c>
      <c r="C29" s="6" t="s">
        <v>12</v>
      </c>
      <c r="D29" s="6" t="s">
        <v>621</v>
      </c>
      <c r="E29" s="6" t="s">
        <v>14</v>
      </c>
      <c r="F29" s="6" t="n">
        <v>9548.74086618</v>
      </c>
      <c r="G29" s="6" t="n">
        <v>9548.741</v>
      </c>
      <c r="H29" s="0" t="s">
        <v>567</v>
      </c>
      <c r="I29" s="0" t="n">
        <v>2</v>
      </c>
      <c r="J29" s="1" t="n">
        <f aca="false">CONVERT(G29,"m^2","ha")</f>
        <v>0.9548741</v>
      </c>
      <c r="K29" s="0" t="b">
        <f aca="false">IF(J29&gt;(I29*2),((ROUNDDOWN(J29/I29,0))-1))</f>
        <v>0</v>
      </c>
    </row>
    <row r="30" customFormat="false" ht="12.75" hidden="false" customHeight="false" outlineLevel="0" collapsed="false">
      <c r="A30" s="5" t="n">
        <v>417</v>
      </c>
      <c r="B30" s="6" t="s">
        <v>622</v>
      </c>
      <c r="C30" s="6" t="s">
        <v>12</v>
      </c>
      <c r="D30" s="6" t="s">
        <v>623</v>
      </c>
      <c r="E30" s="6" t="s">
        <v>14</v>
      </c>
      <c r="F30" s="6" t="n">
        <v>9308.128239295</v>
      </c>
      <c r="G30" s="6" t="n">
        <v>9308.128</v>
      </c>
      <c r="H30" s="0" t="s">
        <v>567</v>
      </c>
      <c r="I30" s="0" t="n">
        <v>2</v>
      </c>
      <c r="J30" s="1" t="n">
        <f aca="false">CONVERT(G30,"m^2","ha")</f>
        <v>0.9308128</v>
      </c>
      <c r="K30" s="0" t="b">
        <f aca="false">IF(J30&gt;(I30*2),((ROUNDDOWN(J30/I30,0))-1))</f>
        <v>0</v>
      </c>
    </row>
    <row r="31" customFormat="false" ht="12.75" hidden="false" customHeight="false" outlineLevel="0" collapsed="false">
      <c r="A31" s="5" t="n">
        <v>418</v>
      </c>
      <c r="B31" s="6" t="s">
        <v>624</v>
      </c>
      <c r="C31" s="6" t="s">
        <v>12</v>
      </c>
      <c r="D31" s="6" t="s">
        <v>625</v>
      </c>
      <c r="E31" s="6" t="s">
        <v>14</v>
      </c>
      <c r="F31" s="6" t="n">
        <v>9504.851954</v>
      </c>
      <c r="G31" s="6" t="n">
        <v>9504.852</v>
      </c>
      <c r="H31" s="0" t="s">
        <v>567</v>
      </c>
      <c r="I31" s="0" t="n">
        <v>2</v>
      </c>
      <c r="J31" s="1" t="n">
        <f aca="false">CONVERT(G31,"m^2","ha")</f>
        <v>0.9504852</v>
      </c>
      <c r="K31" s="0" t="b">
        <f aca="false">IF(J31&gt;(I31*2),((ROUNDDOWN(J31/I31,0))-1))</f>
        <v>0</v>
      </c>
    </row>
    <row r="32" customFormat="false" ht="12.75" hidden="false" customHeight="false" outlineLevel="0" collapsed="false">
      <c r="A32" s="5" t="n">
        <v>420</v>
      </c>
      <c r="B32" s="6" t="s">
        <v>626</v>
      </c>
      <c r="C32" s="6" t="s">
        <v>12</v>
      </c>
      <c r="D32" s="6" t="s">
        <v>627</v>
      </c>
      <c r="E32" s="6" t="s">
        <v>14</v>
      </c>
      <c r="F32" s="6" t="n">
        <v>6673.919736475</v>
      </c>
      <c r="G32" s="6" t="n">
        <v>6673.92</v>
      </c>
      <c r="H32" s="0" t="s">
        <v>567</v>
      </c>
      <c r="I32" s="0" t="n">
        <v>2</v>
      </c>
      <c r="J32" s="1" t="n">
        <f aca="false">CONVERT(G32,"m^2","ha")</f>
        <v>0.667392</v>
      </c>
      <c r="K32" s="0" t="b">
        <f aca="false">IF(J32&gt;(I32*2),((ROUNDDOWN(J32/I32,0))-1))</f>
        <v>0</v>
      </c>
    </row>
    <row r="33" customFormat="false" ht="12.75" hidden="false" customHeight="false" outlineLevel="0" collapsed="false">
      <c r="A33" s="5" t="n">
        <v>809</v>
      </c>
      <c r="B33" s="6" t="s">
        <v>628</v>
      </c>
      <c r="C33" s="6" t="s">
        <v>12</v>
      </c>
      <c r="D33" s="6" t="s">
        <v>629</v>
      </c>
      <c r="E33" s="6" t="s">
        <v>14</v>
      </c>
      <c r="F33" s="6" t="n">
        <v>4854.748431205</v>
      </c>
      <c r="G33" s="6" t="n">
        <v>4854.748</v>
      </c>
      <c r="H33" s="0" t="s">
        <v>567</v>
      </c>
      <c r="I33" s="0" t="n">
        <v>2</v>
      </c>
      <c r="J33" s="1" t="n">
        <f aca="false">CONVERT(G33,"m^2","ha")</f>
        <v>0.4854748</v>
      </c>
      <c r="K33" s="0" t="b">
        <f aca="false">IF(J33&gt;(I33*2),((ROUNDDOWN(J33/I33,0))-1))</f>
        <v>0</v>
      </c>
    </row>
    <row r="34" customFormat="false" ht="12.75" hidden="false" customHeight="false" outlineLevel="0" collapsed="false">
      <c r="A34" s="5" t="n">
        <v>812</v>
      </c>
      <c r="B34" s="6" t="s">
        <v>630</v>
      </c>
      <c r="C34" s="6" t="s">
        <v>12</v>
      </c>
      <c r="D34" s="6" t="s">
        <v>631</v>
      </c>
      <c r="E34" s="6" t="s">
        <v>14</v>
      </c>
      <c r="F34" s="6" t="n">
        <v>3673.031843885</v>
      </c>
      <c r="G34" s="6" t="n">
        <v>3673.032</v>
      </c>
      <c r="H34" s="0" t="s">
        <v>567</v>
      </c>
      <c r="I34" s="0" t="n">
        <v>2</v>
      </c>
      <c r="J34" s="1" t="n">
        <f aca="false">CONVERT(G34,"m^2","ha")</f>
        <v>0.3673032</v>
      </c>
      <c r="K34" s="0" t="b">
        <f aca="false">IF(J34&gt;(I34*2),((ROUNDDOWN(J34/I34,0))-1))</f>
        <v>0</v>
      </c>
    </row>
    <row r="35" customFormat="false" ht="12.75" hidden="false" customHeight="false" outlineLevel="0" collapsed="false">
      <c r="A35" s="5" t="n">
        <v>814</v>
      </c>
      <c r="B35" s="6" t="s">
        <v>632</v>
      </c>
      <c r="C35" s="6" t="s">
        <v>12</v>
      </c>
      <c r="D35" s="6" t="s">
        <v>633</v>
      </c>
      <c r="E35" s="6" t="s">
        <v>14</v>
      </c>
      <c r="F35" s="6" t="n">
        <v>9928.09594114</v>
      </c>
      <c r="G35" s="6" t="n">
        <v>9928.096</v>
      </c>
      <c r="H35" s="0" t="s">
        <v>567</v>
      </c>
      <c r="I35" s="0" t="n">
        <v>2</v>
      </c>
      <c r="J35" s="1" t="n">
        <f aca="false">CONVERT(G35,"m^2","ha")</f>
        <v>0.9928096</v>
      </c>
      <c r="K35" s="0" t="b">
        <f aca="false">IF(J35&gt;(I35*2),((ROUNDDOWN(J35/I35,0))-1))</f>
        <v>0</v>
      </c>
    </row>
    <row r="36" customFormat="false" ht="12.75" hidden="false" customHeight="false" outlineLevel="0" collapsed="false">
      <c r="A36" s="5" t="n">
        <v>819</v>
      </c>
      <c r="B36" s="6" t="s">
        <v>634</v>
      </c>
      <c r="C36" s="6" t="s">
        <v>12</v>
      </c>
      <c r="D36" s="6" t="s">
        <v>635</v>
      </c>
      <c r="E36" s="6" t="s">
        <v>14</v>
      </c>
      <c r="F36" s="6" t="n">
        <v>12355.367872965</v>
      </c>
      <c r="G36" s="6" t="n">
        <v>12355.368</v>
      </c>
      <c r="H36" s="0" t="s">
        <v>567</v>
      </c>
      <c r="I36" s="0" t="n">
        <v>2</v>
      </c>
      <c r="J36" s="1" t="n">
        <f aca="false">CONVERT(G36,"m^2","ha")</f>
        <v>1.2355368</v>
      </c>
      <c r="K36" s="0" t="b">
        <f aca="false">IF(J36&gt;(I36*2),((ROUNDDOWN(J36/I36,0))-1))</f>
        <v>0</v>
      </c>
    </row>
    <row r="37" customFormat="false" ht="12.75" hidden="false" customHeight="false" outlineLevel="0" collapsed="false">
      <c r="A37" s="5" t="n">
        <v>820</v>
      </c>
      <c r="B37" s="6" t="s">
        <v>636</v>
      </c>
      <c r="C37" s="6" t="s">
        <v>12</v>
      </c>
      <c r="D37" s="6" t="s">
        <v>637</v>
      </c>
      <c r="E37" s="6" t="s">
        <v>14</v>
      </c>
      <c r="F37" s="6" t="n">
        <v>7954.486376835</v>
      </c>
      <c r="G37" s="6" t="n">
        <v>7954.486</v>
      </c>
      <c r="H37" s="0" t="s">
        <v>567</v>
      </c>
      <c r="I37" s="0" t="n">
        <v>2</v>
      </c>
      <c r="J37" s="1" t="n">
        <f aca="false">CONVERT(G37,"m^2","ha")</f>
        <v>0.7954486</v>
      </c>
      <c r="K37" s="0" t="b">
        <f aca="false">IF(J37&gt;(I37*2),((ROUNDDOWN(J37/I37,0))-1))</f>
        <v>0</v>
      </c>
    </row>
    <row r="38" customFormat="false" ht="12.75" hidden="false" customHeight="false" outlineLevel="0" collapsed="false">
      <c r="A38" s="5" t="n">
        <v>821</v>
      </c>
      <c r="B38" s="6" t="s">
        <v>638</v>
      </c>
      <c r="C38" s="6" t="s">
        <v>12</v>
      </c>
      <c r="D38" s="6" t="s">
        <v>639</v>
      </c>
      <c r="E38" s="6" t="s">
        <v>14</v>
      </c>
      <c r="F38" s="6" t="n">
        <v>8909.530740435</v>
      </c>
      <c r="G38" s="6" t="n">
        <v>8909.531</v>
      </c>
      <c r="H38" s="0" t="s">
        <v>567</v>
      </c>
      <c r="I38" s="0" t="n">
        <v>2</v>
      </c>
      <c r="J38" s="1" t="n">
        <f aca="false">CONVERT(G38,"m^2","ha")</f>
        <v>0.8909531</v>
      </c>
      <c r="K38" s="0" t="b">
        <f aca="false">IF(J38&gt;(I38*2),((ROUNDDOWN(J38/I38,0))-1))</f>
        <v>0</v>
      </c>
    </row>
    <row r="39" customFormat="false" ht="12.75" hidden="false" customHeight="false" outlineLevel="0" collapsed="false">
      <c r="A39" s="5" t="n">
        <v>822</v>
      </c>
      <c r="B39" s="6" t="s">
        <v>640</v>
      </c>
      <c r="C39" s="6" t="s">
        <v>12</v>
      </c>
      <c r="D39" s="6" t="s">
        <v>641</v>
      </c>
      <c r="E39" s="6" t="s">
        <v>14</v>
      </c>
      <c r="F39" s="6" t="n">
        <v>9619.09258894</v>
      </c>
      <c r="G39" s="6" t="n">
        <v>9619.093</v>
      </c>
      <c r="H39" s="0" t="s">
        <v>567</v>
      </c>
      <c r="I39" s="0" t="n">
        <v>2</v>
      </c>
      <c r="J39" s="1" t="n">
        <f aca="false">CONVERT(G39,"m^2","ha")</f>
        <v>0.9619093</v>
      </c>
      <c r="K39" s="0" t="b">
        <f aca="false">IF(J39&gt;(I39*2),((ROUNDDOWN(J39/I39,0))-1))</f>
        <v>0</v>
      </c>
    </row>
    <row r="40" customFormat="false" ht="12.75" hidden="false" customHeight="false" outlineLevel="0" collapsed="false">
      <c r="A40" s="5" t="n">
        <v>823</v>
      </c>
      <c r="B40" s="6" t="s">
        <v>642</v>
      </c>
      <c r="C40" s="6" t="s">
        <v>12</v>
      </c>
      <c r="D40" s="6" t="s">
        <v>643</v>
      </c>
      <c r="E40" s="6" t="s">
        <v>14</v>
      </c>
      <c r="F40" s="6" t="n">
        <v>6689.77022165</v>
      </c>
      <c r="G40" s="6" t="n">
        <v>6689.77</v>
      </c>
      <c r="H40" s="0" t="s">
        <v>567</v>
      </c>
      <c r="I40" s="0" t="n">
        <v>2</v>
      </c>
      <c r="J40" s="1" t="n">
        <f aca="false">CONVERT(G40,"m^2","ha")</f>
        <v>0.668977</v>
      </c>
      <c r="K40" s="0" t="b">
        <f aca="false">IF(J40&gt;(I40*2),((ROUNDDOWN(J40/I40,0))-1))</f>
        <v>0</v>
      </c>
    </row>
    <row r="41" customFormat="false" ht="12.75" hidden="false" customHeight="false" outlineLevel="0" collapsed="false">
      <c r="A41" s="5" t="n">
        <v>824</v>
      </c>
      <c r="B41" s="6" t="s">
        <v>644</v>
      </c>
      <c r="C41" s="6" t="s">
        <v>12</v>
      </c>
      <c r="D41" s="6" t="s">
        <v>645</v>
      </c>
      <c r="E41" s="6" t="s">
        <v>14</v>
      </c>
      <c r="F41" s="6" t="n">
        <v>9372.758752975</v>
      </c>
      <c r="G41" s="6" t="n">
        <v>9372.759</v>
      </c>
      <c r="H41" s="0" t="s">
        <v>567</v>
      </c>
      <c r="I41" s="0" t="n">
        <v>2</v>
      </c>
      <c r="J41" s="1" t="n">
        <f aca="false">CONVERT(G41,"m^2","ha")</f>
        <v>0.9372759</v>
      </c>
      <c r="K41" s="0" t="b">
        <f aca="false">IF(J41&gt;(I41*2),((ROUNDDOWN(J41/I41,0))-1))</f>
        <v>0</v>
      </c>
    </row>
    <row r="42" customFormat="false" ht="12.75" hidden="false" customHeight="false" outlineLevel="0" collapsed="false">
      <c r="A42" s="5" t="n">
        <v>825</v>
      </c>
      <c r="B42" s="6" t="s">
        <v>646</v>
      </c>
      <c r="C42" s="6" t="s">
        <v>12</v>
      </c>
      <c r="D42" s="6" t="s">
        <v>647</v>
      </c>
      <c r="E42" s="6" t="s">
        <v>14</v>
      </c>
      <c r="F42" s="6" t="n">
        <v>9572.406511585</v>
      </c>
      <c r="G42" s="6" t="n">
        <v>9572.407</v>
      </c>
      <c r="H42" s="0" t="s">
        <v>567</v>
      </c>
      <c r="I42" s="0" t="n">
        <v>2</v>
      </c>
      <c r="J42" s="1" t="n">
        <f aca="false">CONVERT(G42,"m^2","ha")</f>
        <v>0.9572407</v>
      </c>
      <c r="K42" s="0" t="b">
        <f aca="false">IF(J42&gt;(I42*2),((ROUNDDOWN(J42/I42,0))-1))</f>
        <v>0</v>
      </c>
    </row>
    <row r="43" customFormat="false" ht="12.75" hidden="false" customHeight="false" outlineLevel="0" collapsed="false">
      <c r="A43" s="5" t="n">
        <v>971</v>
      </c>
      <c r="B43" s="6" t="s">
        <v>648</v>
      </c>
      <c r="C43" s="6" t="s">
        <v>12</v>
      </c>
      <c r="D43" s="6" t="s">
        <v>649</v>
      </c>
      <c r="E43" s="6" t="s">
        <v>14</v>
      </c>
      <c r="F43" s="6" t="n">
        <v>12621.95403839</v>
      </c>
      <c r="G43" s="6" t="n">
        <v>12621.954</v>
      </c>
      <c r="H43" s="0" t="s">
        <v>567</v>
      </c>
      <c r="I43" s="0" t="n">
        <v>2</v>
      </c>
      <c r="J43" s="1" t="n">
        <f aca="false">CONVERT(G43,"m^2","ha")</f>
        <v>1.2621954</v>
      </c>
      <c r="K43" s="0" t="b">
        <f aca="false">IF(J43&gt;(I43*2),((ROUNDDOWN(J43/I43,0))-1))</f>
        <v>0</v>
      </c>
    </row>
    <row r="44" customFormat="false" ht="12.75" hidden="false" customHeight="false" outlineLevel="0" collapsed="false">
      <c r="A44" s="5" t="n">
        <v>972</v>
      </c>
      <c r="B44" s="6" t="s">
        <v>650</v>
      </c>
      <c r="C44" s="6" t="s">
        <v>12</v>
      </c>
      <c r="D44" s="6" t="s">
        <v>651</v>
      </c>
      <c r="E44" s="6" t="s">
        <v>14</v>
      </c>
      <c r="F44" s="6" t="n">
        <v>3700.59421005</v>
      </c>
      <c r="G44" s="6" t="n">
        <v>3700.594</v>
      </c>
      <c r="H44" s="0" t="s">
        <v>567</v>
      </c>
      <c r="I44" s="0" t="n">
        <v>2</v>
      </c>
      <c r="J44" s="1" t="n">
        <f aca="false">CONVERT(G44,"m^2","ha")</f>
        <v>0.3700594</v>
      </c>
      <c r="K44" s="0" t="b">
        <f aca="false">IF(J44&gt;(I44*2),((ROUNDDOWN(J44/I44,0))-1))</f>
        <v>0</v>
      </c>
    </row>
    <row r="45" customFormat="false" ht="12.75" hidden="false" customHeight="false" outlineLevel="0" collapsed="false">
      <c r="A45" s="5" t="n">
        <v>982</v>
      </c>
      <c r="B45" s="6" t="s">
        <v>652</v>
      </c>
      <c r="C45" s="6" t="s">
        <v>12</v>
      </c>
      <c r="D45" s="6" t="s">
        <v>653</v>
      </c>
      <c r="E45" s="6" t="s">
        <v>14</v>
      </c>
      <c r="F45" s="6" t="n">
        <v>10032.03821249</v>
      </c>
      <c r="G45" s="6" t="n">
        <v>10032.038</v>
      </c>
      <c r="H45" s="0" t="s">
        <v>567</v>
      </c>
      <c r="I45" s="0" t="n">
        <v>2</v>
      </c>
      <c r="J45" s="1" t="n">
        <f aca="false">CONVERT(G45,"m^2","ha")</f>
        <v>1.0032038</v>
      </c>
      <c r="K45" s="0" t="b">
        <f aca="false">IF(J45&gt;(I45*2),((ROUNDDOWN(J45/I45,0))-1))</f>
        <v>0</v>
      </c>
    </row>
    <row r="46" customFormat="false" ht="12.75" hidden="false" customHeight="false" outlineLevel="0" collapsed="false">
      <c r="A46" s="5" t="n">
        <v>984</v>
      </c>
      <c r="B46" s="6" t="s">
        <v>654</v>
      </c>
      <c r="C46" s="6" t="s">
        <v>12</v>
      </c>
      <c r="D46" s="6" t="s">
        <v>655</v>
      </c>
      <c r="E46" s="6" t="s">
        <v>14</v>
      </c>
      <c r="F46" s="6" t="n">
        <v>20153.320363125</v>
      </c>
      <c r="G46" s="6" t="n">
        <v>20153.32</v>
      </c>
      <c r="H46" s="0" t="s">
        <v>567</v>
      </c>
      <c r="I46" s="0" t="n">
        <v>2</v>
      </c>
      <c r="J46" s="1" t="n">
        <f aca="false">CONVERT(G46,"m^2","ha")</f>
        <v>2.015332</v>
      </c>
      <c r="K46" s="0" t="b">
        <f aca="false">IF(J46&gt;(I46*2),((ROUNDDOWN(J46/I46,0))-1))</f>
        <v>0</v>
      </c>
    </row>
    <row r="47" customFormat="false" ht="12.75" hidden="false" customHeight="false" outlineLevel="0" collapsed="false">
      <c r="A47" s="5" t="n">
        <v>989</v>
      </c>
      <c r="B47" s="6" t="s">
        <v>656</v>
      </c>
      <c r="C47" s="6" t="s">
        <v>89</v>
      </c>
      <c r="D47" s="6" t="s">
        <v>657</v>
      </c>
      <c r="E47" s="6" t="s">
        <v>14</v>
      </c>
      <c r="F47" s="6" t="n">
        <v>22713.530832465</v>
      </c>
      <c r="G47" s="6" t="n">
        <v>22709.729</v>
      </c>
      <c r="H47" s="0" t="s">
        <v>567</v>
      </c>
      <c r="I47" s="0" t="n">
        <v>2</v>
      </c>
      <c r="J47" s="1" t="n">
        <f aca="false">CONVERT(G47,"m^2","ha")</f>
        <v>2.2709729</v>
      </c>
      <c r="K47" s="0" t="b">
        <f aca="false">IF(J47&gt;(I47*2),((ROUNDDOWN(J47/I47,0))-1))</f>
        <v>0</v>
      </c>
    </row>
    <row r="48" customFormat="false" ht="12.75" hidden="false" customHeight="false" outlineLevel="0" collapsed="false">
      <c r="A48" s="5" t="n">
        <v>992</v>
      </c>
      <c r="B48" s="6" t="s">
        <v>658</v>
      </c>
      <c r="C48" s="6" t="s">
        <v>12</v>
      </c>
      <c r="D48" s="6" t="s">
        <v>659</v>
      </c>
      <c r="E48" s="6" t="s">
        <v>14</v>
      </c>
      <c r="F48" s="6" t="n">
        <v>10201.86987254</v>
      </c>
      <c r="G48" s="6" t="n">
        <v>10201.87</v>
      </c>
      <c r="H48" s="0" t="s">
        <v>567</v>
      </c>
      <c r="I48" s="0" t="n">
        <v>2</v>
      </c>
      <c r="J48" s="1" t="n">
        <f aca="false">CONVERT(G48,"m^2","ha")</f>
        <v>1.020187</v>
      </c>
      <c r="K48" s="0" t="b">
        <f aca="false">IF(J48&gt;(I48*2),((ROUNDDOWN(J48/I48,0))-1))</f>
        <v>0</v>
      </c>
    </row>
    <row r="49" customFormat="false" ht="12.75" hidden="false" customHeight="false" outlineLevel="0" collapsed="false">
      <c r="A49" s="5" t="n">
        <v>998</v>
      </c>
      <c r="B49" s="6" t="s">
        <v>660</v>
      </c>
      <c r="C49" s="6" t="s">
        <v>12</v>
      </c>
      <c r="D49" s="6" t="s">
        <v>661</v>
      </c>
      <c r="E49" s="6" t="s">
        <v>14</v>
      </c>
      <c r="F49" s="6" t="n">
        <v>10774.376204865</v>
      </c>
      <c r="G49" s="6" t="n">
        <v>10774.376</v>
      </c>
      <c r="H49" s="0" t="s">
        <v>567</v>
      </c>
      <c r="I49" s="0" t="n">
        <v>2</v>
      </c>
      <c r="J49" s="1" t="n">
        <f aca="false">CONVERT(G49,"m^2","ha")</f>
        <v>1.0774376</v>
      </c>
      <c r="K49" s="0" t="b">
        <f aca="false">IF(J49&gt;(I49*2),((ROUNDDOWN(J49/I49,0))-1))</f>
        <v>0</v>
      </c>
    </row>
    <row r="50" customFormat="false" ht="12.75" hidden="false" customHeight="false" outlineLevel="0" collapsed="false">
      <c r="A50" s="5" t="n">
        <v>999</v>
      </c>
      <c r="B50" s="6" t="s">
        <v>662</v>
      </c>
      <c r="C50" s="6" t="s">
        <v>12</v>
      </c>
      <c r="D50" s="6" t="s">
        <v>663</v>
      </c>
      <c r="E50" s="6" t="s">
        <v>14</v>
      </c>
      <c r="F50" s="6" t="n">
        <v>9611.856967275</v>
      </c>
      <c r="G50" s="6" t="n">
        <v>9611.857</v>
      </c>
      <c r="H50" s="0" t="s">
        <v>567</v>
      </c>
      <c r="I50" s="0" t="n">
        <v>2</v>
      </c>
      <c r="J50" s="1" t="n">
        <f aca="false">CONVERT(G50,"m^2","ha")</f>
        <v>0.9611857</v>
      </c>
      <c r="K50" s="0" t="b">
        <f aca="false">IF(J50&gt;(I50*2),((ROUNDDOWN(J50/I50,0))-1))</f>
        <v>0</v>
      </c>
    </row>
    <row r="51" customFormat="false" ht="12.75" hidden="false" customHeight="false" outlineLevel="0" collapsed="false">
      <c r="A51" s="5" t="n">
        <v>1131</v>
      </c>
      <c r="B51" s="6" t="s">
        <v>664</v>
      </c>
      <c r="C51" s="6" t="s">
        <v>12</v>
      </c>
      <c r="D51" s="6" t="s">
        <v>665</v>
      </c>
      <c r="E51" s="6" t="s">
        <v>14</v>
      </c>
      <c r="F51" s="6" t="n">
        <v>14249.723254705</v>
      </c>
      <c r="G51" s="6" t="n">
        <v>14249.723</v>
      </c>
      <c r="H51" s="0" t="s">
        <v>567</v>
      </c>
      <c r="I51" s="0" t="n">
        <v>2</v>
      </c>
      <c r="J51" s="1" t="n">
        <f aca="false">CONVERT(G51,"m^2","ha")</f>
        <v>1.4249723</v>
      </c>
      <c r="K51" s="0" t="b">
        <f aca="false">IF(J51&gt;(I51*2),((ROUNDDOWN(J51/I51,0))-1))</f>
        <v>0</v>
      </c>
    </row>
    <row r="52" customFormat="false" ht="12.75" hidden="false" customHeight="false" outlineLevel="0" collapsed="false">
      <c r="A52" s="5" t="n">
        <v>1288</v>
      </c>
      <c r="B52" s="6" t="s">
        <v>666</v>
      </c>
      <c r="C52" s="6" t="s">
        <v>12</v>
      </c>
      <c r="D52" s="6" t="s">
        <v>667</v>
      </c>
      <c r="E52" s="6" t="s">
        <v>14</v>
      </c>
      <c r="F52" s="6" t="n">
        <v>10266.215374065</v>
      </c>
      <c r="G52" s="6" t="n">
        <v>10266.215</v>
      </c>
      <c r="H52" s="0" t="s">
        <v>567</v>
      </c>
      <c r="I52" s="0" t="n">
        <v>2</v>
      </c>
      <c r="J52" s="1" t="n">
        <f aca="false">CONVERT(G52,"m^2","ha")</f>
        <v>1.0266215</v>
      </c>
      <c r="K52" s="0" t="b">
        <f aca="false">IF(J52&gt;(I52*2),((ROUNDDOWN(J52/I52,0))-1))</f>
        <v>0</v>
      </c>
    </row>
    <row r="53" customFormat="false" ht="12.75" hidden="false" customHeight="false" outlineLevel="0" collapsed="false">
      <c r="A53" s="5" t="n">
        <v>1300</v>
      </c>
      <c r="B53" s="6" t="s">
        <v>668</v>
      </c>
      <c r="C53" s="6" t="s">
        <v>89</v>
      </c>
      <c r="D53" s="6" t="s">
        <v>669</v>
      </c>
      <c r="E53" s="6" t="s">
        <v>14</v>
      </c>
      <c r="F53" s="6" t="n">
        <v>8991.13539328</v>
      </c>
      <c r="G53" s="6" t="n">
        <v>8991.135</v>
      </c>
      <c r="H53" s="0" t="s">
        <v>567</v>
      </c>
      <c r="I53" s="0" t="n">
        <v>2</v>
      </c>
      <c r="J53" s="1" t="n">
        <f aca="false">CONVERT(G53,"m^2","ha")</f>
        <v>0.8991135</v>
      </c>
      <c r="K53" s="0" t="b">
        <f aca="false">IF(J53&gt;(I53*2),((ROUNDDOWN(J53/I53,0))-1))</f>
        <v>0</v>
      </c>
    </row>
    <row r="54" customFormat="false" ht="12.75" hidden="false" customHeight="false" outlineLevel="0" collapsed="false">
      <c r="A54" s="5" t="n">
        <v>1302</v>
      </c>
      <c r="B54" s="6" t="s">
        <v>670</v>
      </c>
      <c r="C54" s="6" t="s">
        <v>89</v>
      </c>
      <c r="D54" s="6" t="s">
        <v>671</v>
      </c>
      <c r="E54" s="6" t="s">
        <v>14</v>
      </c>
      <c r="F54" s="6" t="n">
        <v>4304.347348085</v>
      </c>
      <c r="G54" s="6" t="n">
        <v>4304.347</v>
      </c>
      <c r="H54" s="0" t="s">
        <v>567</v>
      </c>
      <c r="I54" s="0" t="n">
        <v>2</v>
      </c>
      <c r="J54" s="1" t="n">
        <f aca="false">CONVERT(G54,"m^2","ha")</f>
        <v>0.4304347</v>
      </c>
      <c r="K54" s="0" t="b">
        <f aca="false">IF(J54&gt;(I54*2),((ROUNDDOWN(J54/I54,0))-1))</f>
        <v>0</v>
      </c>
    </row>
    <row r="55" customFormat="false" ht="12.75" hidden="false" customHeight="false" outlineLevel="0" collapsed="false">
      <c r="A55" s="5" t="n">
        <v>1313</v>
      </c>
      <c r="B55" s="6" t="s">
        <v>672</v>
      </c>
      <c r="C55" s="6" t="s">
        <v>89</v>
      </c>
      <c r="D55" s="6" t="s">
        <v>673</v>
      </c>
      <c r="E55" s="6" t="s">
        <v>14</v>
      </c>
      <c r="F55" s="6" t="n">
        <v>10587.533676935</v>
      </c>
      <c r="G55" s="6" t="n">
        <v>10587.534</v>
      </c>
      <c r="H55" s="0" t="s">
        <v>567</v>
      </c>
      <c r="I55" s="0" t="n">
        <v>2</v>
      </c>
      <c r="J55" s="1" t="n">
        <f aca="false">CONVERT(G55,"m^2","ha")</f>
        <v>1.0587534</v>
      </c>
      <c r="K55" s="0" t="b">
        <f aca="false">IF(J55&gt;(I55*2),((ROUNDDOWN(J55/I55,0))-1))</f>
        <v>0</v>
      </c>
    </row>
    <row r="56" customFormat="false" ht="12.75" hidden="false" customHeight="false" outlineLevel="0" collapsed="false">
      <c r="A56" s="5" t="n">
        <v>1314</v>
      </c>
      <c r="B56" s="6" t="s">
        <v>674</v>
      </c>
      <c r="C56" s="6" t="s">
        <v>89</v>
      </c>
      <c r="D56" s="6" t="s">
        <v>675</v>
      </c>
      <c r="E56" s="6" t="s">
        <v>14</v>
      </c>
      <c r="F56" s="6" t="n">
        <v>16126.424556125</v>
      </c>
      <c r="G56" s="6" t="n">
        <v>16126.425</v>
      </c>
      <c r="H56" s="0" t="s">
        <v>567</v>
      </c>
      <c r="I56" s="0" t="n">
        <v>2</v>
      </c>
      <c r="J56" s="1" t="n">
        <f aca="false">CONVERT(G56,"m^2","ha")</f>
        <v>1.6126425</v>
      </c>
      <c r="K56" s="0" t="b">
        <f aca="false">IF(J56&gt;(I56*2),((ROUNDDOWN(J56/I56,0))-1))</f>
        <v>0</v>
      </c>
    </row>
    <row r="57" customFormat="false" ht="12.75" hidden="false" customHeight="false" outlineLevel="0" collapsed="false">
      <c r="A57" s="5" t="n">
        <v>1316</v>
      </c>
      <c r="B57" s="6" t="s">
        <v>676</v>
      </c>
      <c r="C57" s="6" t="s">
        <v>12</v>
      </c>
      <c r="D57" s="6" t="s">
        <v>677</v>
      </c>
      <c r="E57" s="6" t="s">
        <v>14</v>
      </c>
      <c r="F57" s="6" t="n">
        <v>20701.287718365</v>
      </c>
      <c r="G57" s="6" t="n">
        <v>20701.288</v>
      </c>
      <c r="H57" s="0" t="s">
        <v>567</v>
      </c>
      <c r="I57" s="0" t="n">
        <v>2</v>
      </c>
      <c r="J57" s="1" t="n">
        <f aca="false">CONVERT(G57,"m^2","ha")</f>
        <v>2.0701288</v>
      </c>
      <c r="K57" s="0" t="b">
        <f aca="false">IF(J57&gt;(I57*2),((ROUNDDOWN(J57/I57,0))-1))</f>
        <v>0</v>
      </c>
    </row>
    <row r="58" customFormat="false" ht="12.75" hidden="false" customHeight="false" outlineLevel="0" collapsed="false">
      <c r="A58" s="5" t="n">
        <v>1387</v>
      </c>
      <c r="B58" s="6" t="s">
        <v>678</v>
      </c>
      <c r="C58" s="6" t="s">
        <v>89</v>
      </c>
      <c r="D58" s="6" t="s">
        <v>679</v>
      </c>
      <c r="E58" s="6" t="s">
        <v>14</v>
      </c>
      <c r="F58" s="6" t="n">
        <v>10005.37943112</v>
      </c>
      <c r="G58" s="6" t="n">
        <v>10005.379</v>
      </c>
      <c r="H58" s="0" t="s">
        <v>567</v>
      </c>
      <c r="I58" s="0" t="n">
        <v>2</v>
      </c>
      <c r="J58" s="1" t="n">
        <f aca="false">CONVERT(G58,"m^2","ha")</f>
        <v>1.0005379</v>
      </c>
      <c r="K58" s="0" t="b">
        <f aca="false">IF(J58&gt;(I58*2),((ROUNDDOWN(J58/I58,0))-1))</f>
        <v>0</v>
      </c>
    </row>
    <row r="59" customFormat="false" ht="12.75" hidden="false" customHeight="false" outlineLevel="0" collapsed="false">
      <c r="A59" s="5" t="n">
        <v>1388</v>
      </c>
      <c r="B59" s="6" t="s">
        <v>680</v>
      </c>
      <c r="C59" s="6" t="s">
        <v>12</v>
      </c>
      <c r="D59" s="6" t="s">
        <v>681</v>
      </c>
      <c r="E59" s="6" t="s">
        <v>14</v>
      </c>
      <c r="F59" s="6" t="n">
        <v>10249.777725635</v>
      </c>
      <c r="G59" s="6" t="n">
        <v>10249.778</v>
      </c>
      <c r="H59" s="0" t="s">
        <v>567</v>
      </c>
      <c r="I59" s="0" t="n">
        <v>2</v>
      </c>
      <c r="J59" s="1" t="n">
        <f aca="false">CONVERT(G59,"m^2","ha")</f>
        <v>1.0249778</v>
      </c>
      <c r="K59" s="0" t="b">
        <f aca="false">IF(J59&gt;(I59*2),((ROUNDDOWN(J59/I59,0))-1))</f>
        <v>0</v>
      </c>
    </row>
    <row r="60" customFormat="false" ht="12.75" hidden="false" customHeight="false" outlineLevel="0" collapsed="false">
      <c r="A60" s="5" t="n">
        <v>1389</v>
      </c>
      <c r="B60" s="6" t="s">
        <v>682</v>
      </c>
      <c r="C60" s="6" t="s">
        <v>12</v>
      </c>
      <c r="D60" s="6" t="s">
        <v>683</v>
      </c>
      <c r="E60" s="6" t="s">
        <v>14</v>
      </c>
      <c r="F60" s="6" t="n">
        <v>11997.74683017</v>
      </c>
      <c r="G60" s="6" t="n">
        <v>11997.747</v>
      </c>
      <c r="H60" s="0" t="s">
        <v>567</v>
      </c>
      <c r="I60" s="0" t="n">
        <v>2</v>
      </c>
      <c r="J60" s="1" t="n">
        <f aca="false">CONVERT(G60,"m^2","ha")</f>
        <v>1.1997747</v>
      </c>
      <c r="K60" s="0" t="b">
        <f aca="false">IF(J60&gt;(I60*2),((ROUNDDOWN(J60/I60,0))-1))</f>
        <v>0</v>
      </c>
    </row>
    <row r="61" customFormat="false" ht="12.75" hidden="false" customHeight="false" outlineLevel="0" collapsed="false">
      <c r="A61" s="5" t="n">
        <v>1390</v>
      </c>
      <c r="B61" s="6" t="s">
        <v>684</v>
      </c>
      <c r="C61" s="6" t="s">
        <v>12</v>
      </c>
      <c r="D61" s="6" t="s">
        <v>685</v>
      </c>
      <c r="E61" s="6" t="s">
        <v>14</v>
      </c>
      <c r="F61" s="6" t="n">
        <v>10801.30800818</v>
      </c>
      <c r="G61" s="6" t="n">
        <v>10801.308</v>
      </c>
      <c r="H61" s="0" t="s">
        <v>567</v>
      </c>
      <c r="I61" s="0" t="n">
        <v>2</v>
      </c>
      <c r="J61" s="1" t="n">
        <f aca="false">CONVERT(G61,"m^2","ha")</f>
        <v>1.0801308</v>
      </c>
      <c r="K61" s="0" t="b">
        <f aca="false">IF(J61&gt;(I61*2),((ROUNDDOWN(J61/I61,0))-1))</f>
        <v>0</v>
      </c>
    </row>
    <row r="62" customFormat="false" ht="12.75" hidden="false" customHeight="false" outlineLevel="0" collapsed="false">
      <c r="A62" s="5" t="n">
        <v>1663</v>
      </c>
      <c r="B62" s="6" t="s">
        <v>686</v>
      </c>
      <c r="C62" s="6" t="s">
        <v>89</v>
      </c>
      <c r="D62" s="6" t="s">
        <v>687</v>
      </c>
      <c r="E62" s="6" t="s">
        <v>14</v>
      </c>
      <c r="F62" s="6" t="n">
        <v>22792.84301128</v>
      </c>
      <c r="G62" s="6" t="n">
        <v>22792.539</v>
      </c>
      <c r="H62" s="0" t="s">
        <v>567</v>
      </c>
      <c r="I62" s="0" t="n">
        <v>2</v>
      </c>
      <c r="J62" s="1" t="n">
        <f aca="false">CONVERT(G62,"m^2","ha")</f>
        <v>2.2792539</v>
      </c>
      <c r="K62" s="0" t="b">
        <f aca="false">IF(J62&gt;(I62*2),((ROUNDDOWN(J62/I62,0))-1))</f>
        <v>0</v>
      </c>
    </row>
    <row r="63" customFormat="false" ht="12.75" hidden="false" customHeight="false" outlineLevel="0" collapsed="false">
      <c r="A63" s="5" t="n">
        <v>1664</v>
      </c>
      <c r="B63" s="6" t="s">
        <v>688</v>
      </c>
      <c r="C63" s="6" t="s">
        <v>89</v>
      </c>
      <c r="D63" s="6" t="s">
        <v>689</v>
      </c>
      <c r="E63" s="6" t="s">
        <v>14</v>
      </c>
      <c r="F63" s="6" t="n">
        <v>10370.71646995</v>
      </c>
      <c r="G63" s="6" t="n">
        <v>10370.716</v>
      </c>
      <c r="H63" s="0" t="s">
        <v>567</v>
      </c>
      <c r="I63" s="0" t="n">
        <v>2</v>
      </c>
      <c r="J63" s="1" t="n">
        <f aca="false">CONVERT(G63,"m^2","ha")</f>
        <v>1.0370716</v>
      </c>
      <c r="K63" s="0" t="b">
        <f aca="false">IF(J63&gt;(I63*2),((ROUNDDOWN(J63/I63,0))-1))</f>
        <v>0</v>
      </c>
    </row>
    <row r="64" customFormat="false" ht="12.75" hidden="false" customHeight="false" outlineLevel="0" collapsed="false">
      <c r="A64" s="5" t="n">
        <v>1666</v>
      </c>
      <c r="B64" s="6" t="s">
        <v>690</v>
      </c>
      <c r="C64" s="6" t="s">
        <v>89</v>
      </c>
      <c r="D64" s="6" t="s">
        <v>691</v>
      </c>
      <c r="E64" s="6" t="s">
        <v>14</v>
      </c>
      <c r="F64" s="6" t="n">
        <v>20132.83805719</v>
      </c>
      <c r="G64" s="6" t="n">
        <v>20132.838</v>
      </c>
      <c r="H64" s="0" t="s">
        <v>567</v>
      </c>
      <c r="I64" s="0" t="n">
        <v>2</v>
      </c>
      <c r="J64" s="1" t="n">
        <f aca="false">CONVERT(G64,"m^2","ha")</f>
        <v>2.0132838</v>
      </c>
      <c r="K64" s="0" t="b">
        <f aca="false">IF(J64&gt;(I64*2),((ROUNDDOWN(J64/I64,0))-1))</f>
        <v>0</v>
      </c>
    </row>
    <row r="65" customFormat="false" ht="12.75" hidden="false" customHeight="false" outlineLevel="0" collapsed="false">
      <c r="A65" s="5" t="n">
        <v>1892</v>
      </c>
      <c r="B65" s="6" t="s">
        <v>692</v>
      </c>
      <c r="C65" s="6" t="s">
        <v>89</v>
      </c>
      <c r="D65" s="6" t="s">
        <v>693</v>
      </c>
      <c r="E65" s="6" t="s">
        <v>14</v>
      </c>
      <c r="F65" s="6" t="n">
        <v>20034.9614054</v>
      </c>
      <c r="G65" s="6" t="n">
        <v>20034.961</v>
      </c>
      <c r="H65" s="0" t="s">
        <v>567</v>
      </c>
      <c r="I65" s="0" t="n">
        <v>2</v>
      </c>
      <c r="J65" s="1" t="n">
        <f aca="false">CONVERT(G65,"m^2","ha")</f>
        <v>2.0034961</v>
      </c>
      <c r="K65" s="0" t="b">
        <f aca="false">IF(J65&gt;(I65*2),((ROUNDDOWN(J65/I65,0))-1))</f>
        <v>0</v>
      </c>
    </row>
    <row r="66" customFormat="false" ht="12.75" hidden="false" customHeight="false" outlineLevel="0" collapsed="false">
      <c r="A66" s="5" t="n">
        <v>1893</v>
      </c>
      <c r="B66" s="6" t="s">
        <v>694</v>
      </c>
      <c r="C66" s="6" t="s">
        <v>89</v>
      </c>
      <c r="D66" s="6" t="s">
        <v>695</v>
      </c>
      <c r="E66" s="6" t="s">
        <v>14</v>
      </c>
      <c r="F66" s="6" t="n">
        <v>22934.68360722</v>
      </c>
      <c r="G66" s="6" t="n">
        <v>22936.062</v>
      </c>
      <c r="H66" s="0" t="s">
        <v>567</v>
      </c>
      <c r="I66" s="0" t="n">
        <v>2</v>
      </c>
      <c r="J66" s="1" t="n">
        <f aca="false">CONVERT(G66,"m^2","ha")</f>
        <v>2.2936062</v>
      </c>
      <c r="K66" s="0" t="b">
        <f aca="false">IF(J66&gt;(I66*2),((ROUNDDOWN(J66/I66,0))-1))</f>
        <v>0</v>
      </c>
    </row>
    <row r="67" customFormat="false" ht="12.75" hidden="false" customHeight="false" outlineLevel="0" collapsed="false">
      <c r="A67" s="5" t="n">
        <v>1965</v>
      </c>
      <c r="B67" s="6" t="s">
        <v>696</v>
      </c>
      <c r="C67" s="6" t="s">
        <v>12</v>
      </c>
      <c r="D67" s="6" t="s">
        <v>697</v>
      </c>
      <c r="E67" s="6" t="s">
        <v>14</v>
      </c>
      <c r="F67" s="6" t="n">
        <v>6422.848041755</v>
      </c>
      <c r="G67" s="6" t="n">
        <v>6422.848</v>
      </c>
      <c r="H67" s="0" t="s">
        <v>567</v>
      </c>
      <c r="I67" s="0" t="n">
        <v>2</v>
      </c>
      <c r="J67" s="1" t="n">
        <f aca="false">CONVERT(G67,"m^2","ha")</f>
        <v>0.6422848</v>
      </c>
      <c r="K67" s="0" t="b">
        <f aca="false">IF(J67&gt;(I67*2),((ROUNDDOWN(J67/I67,0))-1))</f>
        <v>0</v>
      </c>
    </row>
    <row r="68" customFormat="false" ht="12.75" hidden="false" customHeight="false" outlineLevel="0" collapsed="false">
      <c r="A68" s="5" t="n">
        <v>2193</v>
      </c>
      <c r="B68" s="6" t="s">
        <v>698</v>
      </c>
      <c r="C68" s="6" t="s">
        <v>12</v>
      </c>
      <c r="D68" s="6" t="s">
        <v>699</v>
      </c>
      <c r="E68" s="6" t="s">
        <v>14</v>
      </c>
      <c r="F68" s="6" t="n">
        <v>51229.310559925</v>
      </c>
      <c r="G68" s="6" t="n">
        <v>51227.979</v>
      </c>
      <c r="H68" s="0" t="s">
        <v>567</v>
      </c>
      <c r="I68" s="0" t="n">
        <v>2</v>
      </c>
      <c r="J68" s="1" t="n">
        <f aca="false">CONVERT(G68,"m^2","ha")</f>
        <v>5.1227979</v>
      </c>
      <c r="K68" s="0" t="n">
        <f aca="false">IF(J68&gt;(I68*2),((ROUNDDOWN(J68/I68,0))-1))</f>
        <v>1</v>
      </c>
    </row>
    <row r="69" customFormat="false" ht="12.75" hidden="false" customHeight="false" outlineLevel="0" collapsed="false">
      <c r="A69" s="5" t="n">
        <v>2200</v>
      </c>
      <c r="B69" s="6" t="s">
        <v>700</v>
      </c>
      <c r="C69" s="6" t="s">
        <v>12</v>
      </c>
      <c r="D69" s="6" t="s">
        <v>701</v>
      </c>
      <c r="E69" s="6" t="s">
        <v>14</v>
      </c>
      <c r="F69" s="6" t="n">
        <v>20193.24309318</v>
      </c>
      <c r="G69" s="6" t="n">
        <v>20193.243</v>
      </c>
      <c r="H69" s="0" t="s">
        <v>567</v>
      </c>
      <c r="I69" s="0" t="n">
        <v>2</v>
      </c>
      <c r="J69" s="1" t="n">
        <f aca="false">CONVERT(G69,"m^2","ha")</f>
        <v>2.0193243</v>
      </c>
      <c r="K69" s="0" t="b">
        <f aca="false">IF(J69&gt;(I69*2),((ROUNDDOWN(J69/I69,0))-1))</f>
        <v>0</v>
      </c>
    </row>
    <row r="70" customFormat="false" ht="12.75" hidden="false" customHeight="false" outlineLevel="0" collapsed="false">
      <c r="A70" s="5" t="n">
        <v>2271</v>
      </c>
      <c r="B70" s="6" t="s">
        <v>702</v>
      </c>
      <c r="C70" s="6" t="s">
        <v>12</v>
      </c>
      <c r="D70" s="6" t="s">
        <v>703</v>
      </c>
      <c r="E70" s="6" t="s">
        <v>14</v>
      </c>
      <c r="F70" s="6" t="n">
        <v>23648.81445687</v>
      </c>
      <c r="G70" s="6" t="n">
        <v>23648.814</v>
      </c>
      <c r="H70" s="0" t="s">
        <v>567</v>
      </c>
      <c r="I70" s="0" t="n">
        <v>2</v>
      </c>
      <c r="J70" s="1" t="n">
        <f aca="false">CONVERT(G70,"m^2","ha")</f>
        <v>2.3648814</v>
      </c>
      <c r="K70" s="0" t="b">
        <f aca="false">IF(J70&gt;(I70*2),((ROUNDDOWN(J70/I70,0))-1))</f>
        <v>0</v>
      </c>
    </row>
    <row r="71" customFormat="false" ht="12.75" hidden="false" customHeight="false" outlineLevel="0" collapsed="false">
      <c r="A71" s="5" t="n">
        <v>2547</v>
      </c>
      <c r="B71" s="6" t="s">
        <v>704</v>
      </c>
      <c r="C71" s="6" t="s">
        <v>12</v>
      </c>
      <c r="D71" s="6" t="s">
        <v>705</v>
      </c>
      <c r="E71" s="6" t="s">
        <v>14</v>
      </c>
      <c r="F71" s="6" t="n">
        <v>82102.952633895</v>
      </c>
      <c r="G71" s="6" t="n">
        <v>82102.953</v>
      </c>
      <c r="H71" s="0" t="s">
        <v>567</v>
      </c>
      <c r="I71" s="0" t="n">
        <v>2</v>
      </c>
      <c r="J71" s="1" t="n">
        <f aca="false">CONVERT(G71,"m^2","ha")</f>
        <v>8.2102953</v>
      </c>
      <c r="K71" s="0" t="n">
        <f aca="false">IF(J71&gt;(I71*2),((ROUNDDOWN(J71/I71,0))-1))</f>
        <v>3</v>
      </c>
    </row>
    <row r="72" customFormat="false" ht="12.75" hidden="false" customHeight="false" outlineLevel="0" collapsed="false">
      <c r="A72" s="5" t="n">
        <v>2555</v>
      </c>
      <c r="B72" s="6" t="s">
        <v>706</v>
      </c>
      <c r="C72" s="6" t="s">
        <v>12</v>
      </c>
      <c r="D72" s="6" t="s">
        <v>707</v>
      </c>
      <c r="E72" s="6" t="s">
        <v>14</v>
      </c>
      <c r="F72" s="6" t="n">
        <v>32059.50818653</v>
      </c>
      <c r="G72" s="6" t="n">
        <v>32059.508</v>
      </c>
      <c r="H72" s="0" t="s">
        <v>567</v>
      </c>
      <c r="I72" s="0" t="n">
        <v>2</v>
      </c>
      <c r="J72" s="1" t="n">
        <f aca="false">CONVERT(G72,"m^2","ha")</f>
        <v>3.2059508</v>
      </c>
      <c r="K72" s="0" t="b">
        <f aca="false">IF(J72&gt;(I72*2),((ROUNDDOWN(J72/I72,0))-1))</f>
        <v>0</v>
      </c>
    </row>
    <row r="73" customFormat="false" ht="12.75" hidden="false" customHeight="false" outlineLevel="0" collapsed="false">
      <c r="A73" s="5" t="n">
        <v>2556</v>
      </c>
      <c r="B73" s="6" t="s">
        <v>708</v>
      </c>
      <c r="C73" s="6" t="s">
        <v>12</v>
      </c>
      <c r="D73" s="6" t="s">
        <v>709</v>
      </c>
      <c r="E73" s="6" t="s">
        <v>14</v>
      </c>
      <c r="F73" s="6" t="n">
        <v>158530.762829905</v>
      </c>
      <c r="G73" s="6" t="n">
        <v>158530.763</v>
      </c>
      <c r="H73" s="0" t="s">
        <v>567</v>
      </c>
      <c r="I73" s="0" t="n">
        <v>2</v>
      </c>
      <c r="J73" s="1" t="n">
        <f aca="false">CONVERT(G73,"m^2","ha")</f>
        <v>15.8530763</v>
      </c>
      <c r="K73" s="0" t="n">
        <f aca="false">IF(J73&gt;(I73*2),((ROUNDDOWN(J73/I73,0))-1))</f>
        <v>6</v>
      </c>
    </row>
    <row r="74" customFormat="false" ht="12.75" hidden="false" customHeight="false" outlineLevel="0" collapsed="false">
      <c r="A74" s="5" t="n">
        <v>2557</v>
      </c>
      <c r="B74" s="6" t="s">
        <v>710</v>
      </c>
      <c r="C74" s="6" t="s">
        <v>12</v>
      </c>
      <c r="D74" s="6" t="s">
        <v>711</v>
      </c>
      <c r="E74" s="6" t="s">
        <v>14</v>
      </c>
      <c r="F74" s="6" t="n">
        <v>19207.387930675</v>
      </c>
      <c r="G74" s="6" t="n">
        <v>19207.388</v>
      </c>
      <c r="H74" s="0" t="s">
        <v>567</v>
      </c>
      <c r="I74" s="0" t="n">
        <v>2</v>
      </c>
      <c r="J74" s="1" t="n">
        <f aca="false">CONVERT(G74,"m^2","ha")</f>
        <v>1.9207388</v>
      </c>
      <c r="K74" s="0" t="b">
        <f aca="false">IF(J74&gt;(I74*2),((ROUNDDOWN(J74/I74,0))-1))</f>
        <v>0</v>
      </c>
    </row>
    <row r="75" customFormat="false" ht="12.75" hidden="false" customHeight="false" outlineLevel="0" collapsed="false">
      <c r="A75" s="5" t="n">
        <v>2561</v>
      </c>
      <c r="B75" s="6" t="s">
        <v>712</v>
      </c>
      <c r="C75" s="6" t="s">
        <v>12</v>
      </c>
      <c r="D75" s="6" t="s">
        <v>713</v>
      </c>
      <c r="E75" s="6" t="s">
        <v>14</v>
      </c>
      <c r="F75" s="6" t="n">
        <v>5099.971564635</v>
      </c>
      <c r="G75" s="6" t="n">
        <v>5099.972</v>
      </c>
      <c r="H75" s="0" t="s">
        <v>567</v>
      </c>
      <c r="I75" s="0" t="n">
        <v>2</v>
      </c>
      <c r="J75" s="1" t="n">
        <f aca="false">CONVERT(G75,"m^2","ha")</f>
        <v>0.5099972</v>
      </c>
      <c r="K75" s="0" t="b">
        <f aca="false">IF(J75&gt;(I75*2),((ROUNDDOWN(J75/I75,0))-1))</f>
        <v>0</v>
      </c>
    </row>
    <row r="76" customFormat="false" ht="12.75" hidden="false" customHeight="false" outlineLevel="0" collapsed="false">
      <c r="A76" s="5" t="n">
        <v>2566</v>
      </c>
      <c r="B76" s="6" t="s">
        <v>714</v>
      </c>
      <c r="C76" s="6" t="s">
        <v>12</v>
      </c>
      <c r="D76" s="6" t="s">
        <v>715</v>
      </c>
      <c r="E76" s="6" t="s">
        <v>14</v>
      </c>
      <c r="F76" s="6" t="n">
        <v>19852.241316265</v>
      </c>
      <c r="G76" s="6" t="n">
        <v>19852.241</v>
      </c>
      <c r="H76" s="0" t="s">
        <v>567</v>
      </c>
      <c r="I76" s="0" t="n">
        <v>2</v>
      </c>
      <c r="J76" s="1" t="n">
        <f aca="false">CONVERT(G76,"m^2","ha")</f>
        <v>1.9852241</v>
      </c>
      <c r="K76" s="0" t="b">
        <f aca="false">IF(J76&gt;(I76*2),((ROUNDDOWN(J76/I76,0))-1))</f>
        <v>0</v>
      </c>
    </row>
    <row r="77" customFormat="false" ht="12.75" hidden="false" customHeight="false" outlineLevel="0" collapsed="false">
      <c r="A77" s="5" t="n">
        <v>2568</v>
      </c>
      <c r="B77" s="6" t="s">
        <v>716</v>
      </c>
      <c r="C77" s="6" t="s">
        <v>12</v>
      </c>
      <c r="D77" s="6" t="s">
        <v>717</v>
      </c>
      <c r="E77" s="6" t="s">
        <v>14</v>
      </c>
      <c r="F77" s="6" t="n">
        <v>19297.30487822</v>
      </c>
      <c r="G77" s="6" t="n">
        <v>19297.305</v>
      </c>
      <c r="H77" s="0" t="s">
        <v>567</v>
      </c>
      <c r="I77" s="0" t="n">
        <v>2</v>
      </c>
      <c r="J77" s="1" t="n">
        <f aca="false">CONVERT(G77,"m^2","ha")</f>
        <v>1.9297305</v>
      </c>
      <c r="K77" s="0" t="b">
        <f aca="false">IF(J77&gt;(I77*2),((ROUNDDOWN(J77/I77,0))-1))</f>
        <v>0</v>
      </c>
    </row>
    <row r="78" customFormat="false" ht="12.75" hidden="false" customHeight="false" outlineLevel="0" collapsed="false">
      <c r="A78" s="5" t="n">
        <v>2569</v>
      </c>
      <c r="B78" s="6" t="s">
        <v>718</v>
      </c>
      <c r="C78" s="6" t="s">
        <v>12</v>
      </c>
      <c r="D78" s="6" t="s">
        <v>719</v>
      </c>
      <c r="E78" s="6" t="s">
        <v>14</v>
      </c>
      <c r="F78" s="6" t="n">
        <v>40023.534293205</v>
      </c>
      <c r="G78" s="6" t="n">
        <v>40023.534</v>
      </c>
      <c r="H78" s="0" t="s">
        <v>567</v>
      </c>
      <c r="I78" s="0" t="n">
        <v>2</v>
      </c>
      <c r="J78" s="1" t="n">
        <f aca="false">CONVERT(G78,"m^2","ha")</f>
        <v>4.0023534</v>
      </c>
      <c r="K78" s="0" t="n">
        <f aca="false">IF(J78&gt;(I78*2),((ROUNDDOWN(J78/I78,0))-1))</f>
        <v>1</v>
      </c>
    </row>
    <row r="79" customFormat="false" ht="12.75" hidden="false" customHeight="false" outlineLevel="0" collapsed="false">
      <c r="A79" s="5" t="n">
        <v>2572</v>
      </c>
      <c r="B79" s="6" t="s">
        <v>720</v>
      </c>
      <c r="C79" s="6" t="s">
        <v>12</v>
      </c>
      <c r="D79" s="6" t="s">
        <v>721</v>
      </c>
      <c r="E79" s="6" t="s">
        <v>14</v>
      </c>
      <c r="F79" s="6" t="n">
        <v>19609.201816835</v>
      </c>
      <c r="G79" s="6" t="n">
        <v>19609.202</v>
      </c>
      <c r="H79" s="0" t="s">
        <v>567</v>
      </c>
      <c r="I79" s="0" t="n">
        <v>2</v>
      </c>
      <c r="J79" s="1" t="n">
        <f aca="false">CONVERT(G79,"m^2","ha")</f>
        <v>1.9609202</v>
      </c>
      <c r="K79" s="0" t="b">
        <f aca="false">IF(J79&gt;(I79*2),((ROUNDDOWN(J79/I79,0))-1))</f>
        <v>0</v>
      </c>
    </row>
    <row r="80" customFormat="false" ht="12.75" hidden="false" customHeight="false" outlineLevel="0" collapsed="false">
      <c r="A80" s="5" t="n">
        <v>2578</v>
      </c>
      <c r="B80" s="6" t="s">
        <v>722</v>
      </c>
      <c r="C80" s="6" t="s">
        <v>12</v>
      </c>
      <c r="D80" s="6" t="s">
        <v>723</v>
      </c>
      <c r="E80" s="6" t="s">
        <v>14</v>
      </c>
      <c r="F80" s="6" t="n">
        <v>18884.8096889</v>
      </c>
      <c r="G80" s="6" t="n">
        <v>18884.81</v>
      </c>
      <c r="H80" s="0" t="s">
        <v>567</v>
      </c>
      <c r="I80" s="0" t="n">
        <v>2</v>
      </c>
      <c r="J80" s="1" t="n">
        <f aca="false">CONVERT(G80,"m^2","ha")</f>
        <v>1.888481</v>
      </c>
      <c r="K80" s="0" t="b">
        <f aca="false">IF(J80&gt;(I80*2),((ROUNDDOWN(J80/I80,0))-1))</f>
        <v>0</v>
      </c>
    </row>
    <row r="81" customFormat="false" ht="12.75" hidden="false" customHeight="false" outlineLevel="0" collapsed="false">
      <c r="A81" s="5" t="n">
        <v>2585</v>
      </c>
      <c r="B81" s="6" t="s">
        <v>724</v>
      </c>
      <c r="C81" s="6" t="s">
        <v>12</v>
      </c>
      <c r="D81" s="6" t="s">
        <v>725</v>
      </c>
      <c r="E81" s="6" t="s">
        <v>14</v>
      </c>
      <c r="F81" s="6" t="n">
        <v>19165.653467675</v>
      </c>
      <c r="G81" s="6" t="n">
        <v>19165.653</v>
      </c>
      <c r="H81" s="0" t="s">
        <v>567</v>
      </c>
      <c r="I81" s="0" t="n">
        <v>2</v>
      </c>
      <c r="J81" s="1" t="n">
        <f aca="false">CONVERT(G81,"m^2","ha")</f>
        <v>1.9165653</v>
      </c>
      <c r="K81" s="0" t="b">
        <f aca="false">IF(J81&gt;(I81*2),((ROUNDDOWN(J81/I81,0))-1))</f>
        <v>0</v>
      </c>
    </row>
    <row r="82" customFormat="false" ht="12.75" hidden="false" customHeight="false" outlineLevel="0" collapsed="false">
      <c r="A82" s="5" t="n">
        <v>2594</v>
      </c>
      <c r="B82" s="6" t="s">
        <v>726</v>
      </c>
      <c r="C82" s="6" t="s">
        <v>12</v>
      </c>
      <c r="D82" s="6" t="s">
        <v>727</v>
      </c>
      <c r="E82" s="6" t="s">
        <v>14</v>
      </c>
      <c r="F82" s="6" t="n">
        <v>19108.769342715</v>
      </c>
      <c r="G82" s="6" t="n">
        <v>19108.769</v>
      </c>
      <c r="H82" s="0" t="s">
        <v>567</v>
      </c>
      <c r="I82" s="0" t="n">
        <v>2</v>
      </c>
      <c r="J82" s="1" t="n">
        <f aca="false">CONVERT(G82,"m^2","ha")</f>
        <v>1.9108769</v>
      </c>
      <c r="K82" s="0" t="b">
        <f aca="false">IF(J82&gt;(I82*2),((ROUNDDOWN(J82/I82,0))-1))</f>
        <v>0</v>
      </c>
    </row>
    <row r="83" customFormat="false" ht="12.75" hidden="false" customHeight="false" outlineLevel="0" collapsed="false">
      <c r="A83" s="5" t="n">
        <v>2602</v>
      </c>
      <c r="B83" s="6" t="s">
        <v>728</v>
      </c>
      <c r="C83" s="6" t="s">
        <v>12</v>
      </c>
      <c r="D83" s="6" t="s">
        <v>729</v>
      </c>
      <c r="E83" s="6" t="s">
        <v>14</v>
      </c>
      <c r="F83" s="6" t="n">
        <v>23528.057576905</v>
      </c>
      <c r="G83" s="6" t="n">
        <v>23528.119</v>
      </c>
      <c r="H83" s="0" t="s">
        <v>567</v>
      </c>
      <c r="I83" s="0" t="n">
        <v>2</v>
      </c>
      <c r="J83" s="1" t="n">
        <f aca="false">CONVERT(G83,"m^2","ha")</f>
        <v>2.3528119</v>
      </c>
      <c r="K83" s="0" t="b">
        <f aca="false">IF(J83&gt;(I83*2),((ROUNDDOWN(J83/I83,0))-1))</f>
        <v>0</v>
      </c>
    </row>
    <row r="84" customFormat="false" ht="12.75" hidden="false" customHeight="false" outlineLevel="0" collapsed="false">
      <c r="A84" s="5" t="n">
        <v>2603</v>
      </c>
      <c r="B84" s="6" t="s">
        <v>730</v>
      </c>
      <c r="C84" s="6" t="s">
        <v>12</v>
      </c>
      <c r="D84" s="6" t="s">
        <v>731</v>
      </c>
      <c r="E84" s="6" t="s">
        <v>14</v>
      </c>
      <c r="F84" s="6" t="n">
        <v>21645.56615137</v>
      </c>
      <c r="G84" s="6" t="n">
        <v>21645.566</v>
      </c>
      <c r="H84" s="0" t="s">
        <v>567</v>
      </c>
      <c r="I84" s="0" t="n">
        <v>2</v>
      </c>
      <c r="J84" s="1" t="n">
        <f aca="false">CONVERT(G84,"m^2","ha")</f>
        <v>2.1645566</v>
      </c>
      <c r="K84" s="0" t="b">
        <f aca="false">IF(J84&gt;(I84*2),((ROUNDDOWN(J84/I84,0))-1))</f>
        <v>0</v>
      </c>
    </row>
    <row r="85" customFormat="false" ht="12.75" hidden="false" customHeight="false" outlineLevel="0" collapsed="false">
      <c r="A85" s="5" t="n">
        <v>2657</v>
      </c>
      <c r="B85" s="6" t="s">
        <v>732</v>
      </c>
      <c r="C85" s="6" t="s">
        <v>12</v>
      </c>
      <c r="D85" s="6" t="s">
        <v>733</v>
      </c>
      <c r="E85" s="6" t="s">
        <v>14</v>
      </c>
      <c r="F85" s="6" t="n">
        <v>10118.537777435</v>
      </c>
      <c r="G85" s="6" t="n">
        <v>10118.538</v>
      </c>
      <c r="H85" s="0" t="s">
        <v>567</v>
      </c>
      <c r="I85" s="0" t="n">
        <v>2</v>
      </c>
      <c r="J85" s="1" t="n">
        <f aca="false">CONVERT(G85,"m^2","ha")</f>
        <v>1.0118538</v>
      </c>
      <c r="K85" s="0" t="b">
        <f aca="false">IF(J85&gt;(I85*2),((ROUNDDOWN(J85/I85,0))-1))</f>
        <v>0</v>
      </c>
    </row>
    <row r="86" customFormat="false" ht="12.75" hidden="false" customHeight="false" outlineLevel="0" collapsed="false">
      <c r="A86" s="5" t="n">
        <v>2659</v>
      </c>
      <c r="B86" s="6" t="s">
        <v>734</v>
      </c>
      <c r="C86" s="6" t="s">
        <v>12</v>
      </c>
      <c r="D86" s="6" t="s">
        <v>735</v>
      </c>
      <c r="E86" s="6" t="s">
        <v>14</v>
      </c>
      <c r="F86" s="6" t="n">
        <v>5760.05900727</v>
      </c>
      <c r="G86" s="6" t="n">
        <v>5760.059</v>
      </c>
      <c r="H86" s="0" t="s">
        <v>567</v>
      </c>
      <c r="I86" s="0" t="n">
        <v>2</v>
      </c>
      <c r="J86" s="1" t="n">
        <f aca="false">CONVERT(G86,"m^2","ha")</f>
        <v>0.5760059</v>
      </c>
      <c r="K86" s="0" t="b">
        <f aca="false">IF(J86&gt;(I86*2),((ROUNDDOWN(J86/I86,0))-1))</f>
        <v>0</v>
      </c>
    </row>
    <row r="87" customFormat="false" ht="12.75" hidden="false" customHeight="false" outlineLevel="0" collapsed="false">
      <c r="A87" s="5" t="n">
        <v>2660</v>
      </c>
      <c r="B87" s="6" t="s">
        <v>736</v>
      </c>
      <c r="C87" s="6" t="s">
        <v>12</v>
      </c>
      <c r="D87" s="6" t="s">
        <v>737</v>
      </c>
      <c r="E87" s="6" t="s">
        <v>14</v>
      </c>
      <c r="F87" s="6" t="n">
        <v>9643.95482699</v>
      </c>
      <c r="G87" s="6" t="n">
        <v>9643.336</v>
      </c>
      <c r="H87" s="0" t="s">
        <v>567</v>
      </c>
      <c r="I87" s="0" t="n">
        <v>2</v>
      </c>
      <c r="J87" s="1" t="n">
        <f aca="false">CONVERT(G87,"m^2","ha")</f>
        <v>0.9643336</v>
      </c>
      <c r="K87" s="0" t="b">
        <f aca="false">IF(J87&gt;(I87*2),((ROUNDDOWN(J87/I87,0))-1))</f>
        <v>0</v>
      </c>
    </row>
    <row r="88" customFormat="false" ht="12.75" hidden="false" customHeight="false" outlineLevel="0" collapsed="false">
      <c r="A88" s="5" t="n">
        <v>2661</v>
      </c>
      <c r="B88" s="6" t="s">
        <v>738</v>
      </c>
      <c r="C88" s="6" t="s">
        <v>12</v>
      </c>
      <c r="D88" s="6" t="s">
        <v>739</v>
      </c>
      <c r="E88" s="6" t="s">
        <v>14</v>
      </c>
      <c r="F88" s="6" t="n">
        <v>10116.407655545</v>
      </c>
      <c r="G88" s="6" t="n">
        <v>10116.408</v>
      </c>
      <c r="H88" s="0" t="s">
        <v>567</v>
      </c>
      <c r="I88" s="0" t="n">
        <v>2</v>
      </c>
      <c r="J88" s="1" t="n">
        <f aca="false">CONVERT(G88,"m^2","ha")</f>
        <v>1.0116408</v>
      </c>
      <c r="K88" s="0" t="b">
        <f aca="false">IF(J88&gt;(I88*2),((ROUNDDOWN(J88/I88,0))-1))</f>
        <v>0</v>
      </c>
    </row>
    <row r="89" customFormat="false" ht="12.75" hidden="false" customHeight="false" outlineLevel="0" collapsed="false">
      <c r="A89" s="5" t="n">
        <v>2662</v>
      </c>
      <c r="B89" s="6" t="s">
        <v>740</v>
      </c>
      <c r="C89" s="6" t="s">
        <v>12</v>
      </c>
      <c r="D89" s="6" t="s">
        <v>741</v>
      </c>
      <c r="E89" s="6" t="s">
        <v>14</v>
      </c>
      <c r="F89" s="6" t="n">
        <v>10535.35970061</v>
      </c>
      <c r="G89" s="6" t="n">
        <v>10535.36</v>
      </c>
      <c r="H89" s="0" t="s">
        <v>567</v>
      </c>
      <c r="I89" s="0" t="n">
        <v>2</v>
      </c>
      <c r="J89" s="1" t="n">
        <f aca="false">CONVERT(G89,"m^2","ha")</f>
        <v>1.053536</v>
      </c>
      <c r="K89" s="0" t="b">
        <f aca="false">IF(J89&gt;(I89*2),((ROUNDDOWN(J89/I89,0))-1))</f>
        <v>0</v>
      </c>
    </row>
    <row r="90" customFormat="false" ht="12.75" hidden="false" customHeight="false" outlineLevel="0" collapsed="false">
      <c r="A90" s="5" t="n">
        <v>2663</v>
      </c>
      <c r="B90" s="6" t="s">
        <v>742</v>
      </c>
      <c r="C90" s="6" t="s">
        <v>12</v>
      </c>
      <c r="D90" s="6" t="s">
        <v>743</v>
      </c>
      <c r="E90" s="6" t="s">
        <v>14</v>
      </c>
      <c r="F90" s="6" t="n">
        <v>21300.271421255</v>
      </c>
      <c r="G90" s="6" t="n">
        <v>21300.888</v>
      </c>
      <c r="H90" s="0" t="s">
        <v>567</v>
      </c>
      <c r="I90" s="0" t="n">
        <v>2</v>
      </c>
      <c r="J90" s="1" t="n">
        <f aca="false">CONVERT(G90,"m^2","ha")</f>
        <v>2.1300888</v>
      </c>
      <c r="K90" s="0" t="b">
        <f aca="false">IF(J90&gt;(I90*2),((ROUNDDOWN(J90/I90,0))-1))</f>
        <v>0</v>
      </c>
    </row>
    <row r="91" customFormat="false" ht="12.75" hidden="false" customHeight="false" outlineLevel="0" collapsed="false">
      <c r="A91" s="5" t="n">
        <v>2665</v>
      </c>
      <c r="B91" s="6" t="s">
        <v>744</v>
      </c>
      <c r="C91" s="6" t="s">
        <v>12</v>
      </c>
      <c r="D91" s="6" t="s">
        <v>745</v>
      </c>
      <c r="E91" s="6" t="s">
        <v>14</v>
      </c>
      <c r="F91" s="6" t="n">
        <v>10066.09114683</v>
      </c>
      <c r="G91" s="6" t="n">
        <v>10066.091</v>
      </c>
      <c r="H91" s="0" t="s">
        <v>567</v>
      </c>
      <c r="I91" s="0" t="n">
        <v>2</v>
      </c>
      <c r="J91" s="1" t="n">
        <f aca="false">CONVERT(G91,"m^2","ha")</f>
        <v>1.0066091</v>
      </c>
      <c r="K91" s="0" t="b">
        <f aca="false">IF(J91&gt;(I91*2),((ROUNDDOWN(J91/I91,0))-1))</f>
        <v>0</v>
      </c>
    </row>
    <row r="92" customFormat="false" ht="12.75" hidden="false" customHeight="false" outlineLevel="0" collapsed="false">
      <c r="A92" s="5" t="n">
        <v>2669</v>
      </c>
      <c r="B92" s="6" t="s">
        <v>746</v>
      </c>
      <c r="C92" s="6" t="s">
        <v>12</v>
      </c>
      <c r="D92" s="6" t="s">
        <v>747</v>
      </c>
      <c r="E92" s="6" t="s">
        <v>14</v>
      </c>
      <c r="F92" s="6" t="n">
        <v>10367.41156061</v>
      </c>
      <c r="G92" s="6" t="n">
        <v>10367.412</v>
      </c>
      <c r="H92" s="0" t="s">
        <v>567</v>
      </c>
      <c r="I92" s="0" t="n">
        <v>2</v>
      </c>
      <c r="J92" s="1" t="n">
        <f aca="false">CONVERT(G92,"m^2","ha")</f>
        <v>1.0367412</v>
      </c>
      <c r="K92" s="0" t="b">
        <f aca="false">IF(J92&gt;(I92*2),((ROUNDDOWN(J92/I92,0))-1))</f>
        <v>0</v>
      </c>
    </row>
    <row r="93" customFormat="false" ht="12.75" hidden="false" customHeight="false" outlineLevel="0" collapsed="false">
      <c r="A93" s="5" t="n">
        <v>2672</v>
      </c>
      <c r="B93" s="6" t="s">
        <v>748</v>
      </c>
      <c r="C93" s="6" t="s">
        <v>12</v>
      </c>
      <c r="D93" s="6" t="s">
        <v>749</v>
      </c>
      <c r="E93" s="6" t="s">
        <v>14</v>
      </c>
      <c r="F93" s="6" t="n">
        <v>9992.092478325</v>
      </c>
      <c r="G93" s="6" t="n">
        <v>9992.092</v>
      </c>
      <c r="H93" s="0" t="s">
        <v>567</v>
      </c>
      <c r="I93" s="0" t="n">
        <v>2</v>
      </c>
      <c r="J93" s="1" t="n">
        <f aca="false">CONVERT(G93,"m^2","ha")</f>
        <v>0.9992092</v>
      </c>
      <c r="K93" s="0" t="b">
        <f aca="false">IF(J93&gt;(I93*2),((ROUNDDOWN(J93/I93,0))-1))</f>
        <v>0</v>
      </c>
    </row>
    <row r="94" customFormat="false" ht="12.75" hidden="false" customHeight="false" outlineLevel="0" collapsed="false">
      <c r="A94" s="5" t="n">
        <v>2675</v>
      </c>
      <c r="B94" s="6" t="s">
        <v>750</v>
      </c>
      <c r="C94" s="6" t="s">
        <v>12</v>
      </c>
      <c r="D94" s="6" t="s">
        <v>751</v>
      </c>
      <c r="E94" s="6" t="s">
        <v>14</v>
      </c>
      <c r="F94" s="6" t="n">
        <v>10340.967803775</v>
      </c>
      <c r="G94" s="6" t="n">
        <v>10340.968</v>
      </c>
      <c r="H94" s="0" t="s">
        <v>567</v>
      </c>
      <c r="I94" s="0" t="n">
        <v>2</v>
      </c>
      <c r="J94" s="1" t="n">
        <f aca="false">CONVERT(G94,"m^2","ha")</f>
        <v>1.0340968</v>
      </c>
      <c r="K94" s="0" t="b">
        <f aca="false">IF(J94&gt;(I94*2),((ROUNDDOWN(J94/I94,0))-1))</f>
        <v>0</v>
      </c>
    </row>
    <row r="95" customFormat="false" ht="12.75" hidden="false" customHeight="false" outlineLevel="0" collapsed="false">
      <c r="A95" s="5" t="n">
        <v>2676</v>
      </c>
      <c r="B95" s="6" t="s">
        <v>752</v>
      </c>
      <c r="C95" s="6" t="s">
        <v>89</v>
      </c>
      <c r="D95" s="6" t="s">
        <v>753</v>
      </c>
      <c r="E95" s="6" t="s">
        <v>14</v>
      </c>
      <c r="F95" s="6" t="n">
        <v>10117.61355306</v>
      </c>
      <c r="G95" s="6" t="n">
        <v>10117.614</v>
      </c>
      <c r="H95" s="0" t="s">
        <v>567</v>
      </c>
      <c r="I95" s="0" t="n">
        <v>2</v>
      </c>
      <c r="J95" s="1" t="n">
        <f aca="false">CONVERT(G95,"m^2","ha")</f>
        <v>1.0117614</v>
      </c>
      <c r="K95" s="0" t="b">
        <f aca="false">IF(J95&gt;(I95*2),((ROUNDDOWN(J95/I95,0))-1))</f>
        <v>0</v>
      </c>
    </row>
    <row r="96" customFormat="false" ht="12.75" hidden="false" customHeight="false" outlineLevel="0" collapsed="false">
      <c r="A96" s="5" t="n">
        <v>2677</v>
      </c>
      <c r="B96" s="6" t="s">
        <v>754</v>
      </c>
      <c r="C96" s="6" t="s">
        <v>12</v>
      </c>
      <c r="D96" s="6" t="s">
        <v>755</v>
      </c>
      <c r="E96" s="6" t="s">
        <v>14</v>
      </c>
      <c r="F96" s="6" t="n">
        <v>11540.85036658</v>
      </c>
      <c r="G96" s="6" t="n">
        <v>11541.044</v>
      </c>
      <c r="H96" s="0" t="s">
        <v>567</v>
      </c>
      <c r="I96" s="0" t="n">
        <v>2</v>
      </c>
      <c r="J96" s="1" t="n">
        <f aca="false">CONVERT(G96,"m^2","ha")</f>
        <v>1.1541044</v>
      </c>
      <c r="K96" s="0" t="b">
        <f aca="false">IF(J96&gt;(I96*2),((ROUNDDOWN(J96/I96,0))-1))</f>
        <v>0</v>
      </c>
    </row>
    <row r="97" customFormat="false" ht="12.75" hidden="false" customHeight="false" outlineLevel="0" collapsed="false">
      <c r="A97" s="5" t="n">
        <v>2678</v>
      </c>
      <c r="B97" s="6" t="s">
        <v>756</v>
      </c>
      <c r="C97" s="6" t="s">
        <v>12</v>
      </c>
      <c r="D97" s="6" t="s">
        <v>757</v>
      </c>
      <c r="E97" s="6" t="s">
        <v>14</v>
      </c>
      <c r="F97" s="6" t="n">
        <v>10066.88898457</v>
      </c>
      <c r="G97" s="6" t="n">
        <v>10066.889</v>
      </c>
      <c r="H97" s="0" t="s">
        <v>567</v>
      </c>
      <c r="I97" s="0" t="n">
        <v>2</v>
      </c>
      <c r="J97" s="1" t="n">
        <f aca="false">CONVERT(G97,"m^2","ha")</f>
        <v>1.0066889</v>
      </c>
      <c r="K97" s="0" t="b">
        <f aca="false">IF(J97&gt;(I97*2),((ROUNDDOWN(J97/I97,0))-1))</f>
        <v>0</v>
      </c>
    </row>
    <row r="98" customFormat="false" ht="12.75" hidden="false" customHeight="false" outlineLevel="0" collapsed="false">
      <c r="A98" s="5" t="n">
        <v>2681</v>
      </c>
      <c r="B98" s="6" t="s">
        <v>758</v>
      </c>
      <c r="C98" s="6" t="s">
        <v>12</v>
      </c>
      <c r="D98" s="6" t="s">
        <v>759</v>
      </c>
      <c r="E98" s="6" t="s">
        <v>14</v>
      </c>
      <c r="F98" s="6" t="n">
        <v>17645.27306165</v>
      </c>
      <c r="G98" s="6" t="n">
        <v>17645.273</v>
      </c>
      <c r="H98" s="0" t="s">
        <v>567</v>
      </c>
      <c r="I98" s="0" t="n">
        <v>2</v>
      </c>
      <c r="J98" s="1" t="n">
        <f aca="false">CONVERT(G98,"m^2","ha")</f>
        <v>1.7645273</v>
      </c>
      <c r="K98" s="0" t="b">
        <f aca="false">IF(J98&gt;(I98*2),((ROUNDDOWN(J98/I98,0))-1))</f>
        <v>0</v>
      </c>
    </row>
    <row r="99" customFormat="false" ht="12.75" hidden="false" customHeight="false" outlineLevel="0" collapsed="false">
      <c r="A99" s="5" t="n">
        <v>2683</v>
      </c>
      <c r="B99" s="6" t="s">
        <v>760</v>
      </c>
      <c r="C99" s="6" t="s">
        <v>12</v>
      </c>
      <c r="D99" s="6" t="s">
        <v>761</v>
      </c>
      <c r="E99" s="6" t="s">
        <v>14</v>
      </c>
      <c r="F99" s="6" t="n">
        <v>19820.83288675</v>
      </c>
      <c r="G99" s="6" t="n">
        <v>19820.833</v>
      </c>
      <c r="H99" s="0" t="s">
        <v>567</v>
      </c>
      <c r="I99" s="0" t="n">
        <v>2</v>
      </c>
      <c r="J99" s="1" t="n">
        <f aca="false">CONVERT(G99,"m^2","ha")</f>
        <v>1.9820833</v>
      </c>
      <c r="K99" s="0" t="b">
        <f aca="false">IF(J99&gt;(I99*2),((ROUNDDOWN(J99/I99,0))-1))</f>
        <v>0</v>
      </c>
    </row>
    <row r="100" customFormat="false" ht="12.75" hidden="false" customHeight="false" outlineLevel="0" collapsed="false">
      <c r="A100" s="5" t="n">
        <v>2686</v>
      </c>
      <c r="B100" s="6" t="s">
        <v>762</v>
      </c>
      <c r="C100" s="6" t="s">
        <v>12</v>
      </c>
      <c r="D100" s="6" t="s">
        <v>763</v>
      </c>
      <c r="E100" s="6" t="s">
        <v>14</v>
      </c>
      <c r="F100" s="6" t="n">
        <v>9924.61490783</v>
      </c>
      <c r="G100" s="6" t="n">
        <v>9924.481</v>
      </c>
      <c r="H100" s="0" t="s">
        <v>567</v>
      </c>
      <c r="I100" s="0" t="n">
        <v>2</v>
      </c>
      <c r="J100" s="1" t="n">
        <f aca="false">CONVERT(G100,"m^2","ha")</f>
        <v>0.9924481</v>
      </c>
      <c r="K100" s="0" t="b">
        <f aca="false">IF(J100&gt;(I100*2),((ROUNDDOWN(J100/I100,0))-1))</f>
        <v>0</v>
      </c>
    </row>
    <row r="101" customFormat="false" ht="12.75" hidden="false" customHeight="false" outlineLevel="0" collapsed="false">
      <c r="A101" s="5" t="n">
        <v>2688</v>
      </c>
      <c r="B101" s="6" t="s">
        <v>764</v>
      </c>
      <c r="C101" s="6" t="s">
        <v>89</v>
      </c>
      <c r="D101" s="6" t="s">
        <v>765</v>
      </c>
      <c r="E101" s="6" t="s">
        <v>14</v>
      </c>
      <c r="F101" s="6" t="n">
        <v>10105.53712844</v>
      </c>
      <c r="G101" s="6" t="n">
        <v>10105.537</v>
      </c>
      <c r="H101" s="0" t="s">
        <v>567</v>
      </c>
      <c r="I101" s="0" t="n">
        <v>2</v>
      </c>
      <c r="J101" s="1" t="n">
        <f aca="false">CONVERT(G101,"m^2","ha")</f>
        <v>1.0105537</v>
      </c>
      <c r="K101" s="0" t="b">
        <f aca="false">IF(J101&gt;(I101*2),((ROUNDDOWN(J101/I101,0))-1))</f>
        <v>0</v>
      </c>
    </row>
    <row r="102" customFormat="false" ht="12.75" hidden="false" customHeight="false" outlineLevel="0" collapsed="false">
      <c r="A102" s="5" t="n">
        <v>2689</v>
      </c>
      <c r="B102" s="6" t="s">
        <v>766</v>
      </c>
      <c r="C102" s="6" t="s">
        <v>12</v>
      </c>
      <c r="D102" s="6" t="s">
        <v>767</v>
      </c>
      <c r="E102" s="6" t="s">
        <v>14</v>
      </c>
      <c r="F102" s="6" t="n">
        <v>10381.46581118</v>
      </c>
      <c r="G102" s="6" t="n">
        <v>10381.466</v>
      </c>
      <c r="H102" s="0" t="s">
        <v>567</v>
      </c>
      <c r="I102" s="0" t="n">
        <v>2</v>
      </c>
      <c r="J102" s="1" t="n">
        <f aca="false">CONVERT(G102,"m^2","ha")</f>
        <v>1.0381466</v>
      </c>
      <c r="K102" s="0" t="b">
        <f aca="false">IF(J102&gt;(I102*2),((ROUNDDOWN(J102/I102,0))-1))</f>
        <v>0</v>
      </c>
    </row>
    <row r="103" customFormat="false" ht="12.75" hidden="false" customHeight="false" outlineLevel="0" collapsed="false">
      <c r="A103" s="5" t="n">
        <v>2691</v>
      </c>
      <c r="B103" s="6" t="s">
        <v>768</v>
      </c>
      <c r="C103" s="6" t="s">
        <v>12</v>
      </c>
      <c r="D103" s="6" t="s">
        <v>769</v>
      </c>
      <c r="E103" s="6" t="s">
        <v>14</v>
      </c>
      <c r="F103" s="6" t="n">
        <v>9773.982570055</v>
      </c>
      <c r="G103" s="6" t="n">
        <v>9773.983</v>
      </c>
      <c r="H103" s="0" t="s">
        <v>567</v>
      </c>
      <c r="I103" s="0" t="n">
        <v>2</v>
      </c>
      <c r="J103" s="1" t="n">
        <f aca="false">CONVERT(G103,"m^2","ha")</f>
        <v>0.9773983</v>
      </c>
      <c r="K103" s="0" t="b">
        <f aca="false">IF(J103&gt;(I103*2),((ROUNDDOWN(J103/I103,0))-1))</f>
        <v>0</v>
      </c>
    </row>
    <row r="104" customFormat="false" ht="12.75" hidden="false" customHeight="false" outlineLevel="0" collapsed="false">
      <c r="A104" s="5" t="n">
        <v>2694</v>
      </c>
      <c r="B104" s="6" t="s">
        <v>770</v>
      </c>
      <c r="C104" s="6" t="s">
        <v>12</v>
      </c>
      <c r="D104" s="6" t="s">
        <v>771</v>
      </c>
      <c r="E104" s="6" t="s">
        <v>14</v>
      </c>
      <c r="F104" s="6" t="n">
        <v>10184.59992029</v>
      </c>
      <c r="G104" s="6" t="n">
        <v>10184.6</v>
      </c>
      <c r="H104" s="0" t="s">
        <v>567</v>
      </c>
      <c r="I104" s="0" t="n">
        <v>2</v>
      </c>
      <c r="J104" s="1" t="n">
        <f aca="false">CONVERT(G104,"m^2","ha")</f>
        <v>1.01846</v>
      </c>
      <c r="K104" s="0" t="b">
        <f aca="false">IF(J104&gt;(I104*2),((ROUNDDOWN(J104/I104,0))-1))</f>
        <v>0</v>
      </c>
    </row>
    <row r="105" customFormat="false" ht="12.75" hidden="false" customHeight="false" outlineLevel="0" collapsed="false">
      <c r="A105" s="5" t="n">
        <v>2696</v>
      </c>
      <c r="B105" s="6" t="s">
        <v>772</v>
      </c>
      <c r="C105" s="6" t="s">
        <v>12</v>
      </c>
      <c r="D105" s="6" t="s">
        <v>773</v>
      </c>
      <c r="E105" s="6" t="s">
        <v>14</v>
      </c>
      <c r="F105" s="6" t="n">
        <v>10165.470832345</v>
      </c>
      <c r="G105" s="6" t="n">
        <v>10165.471</v>
      </c>
      <c r="H105" s="0" t="s">
        <v>567</v>
      </c>
      <c r="I105" s="0" t="n">
        <v>2</v>
      </c>
      <c r="J105" s="1" t="n">
        <f aca="false">CONVERT(G105,"m^2","ha")</f>
        <v>1.0165471</v>
      </c>
      <c r="K105" s="0" t="b">
        <f aca="false">IF(J105&gt;(I105*2),((ROUNDDOWN(J105/I105,0))-1))</f>
        <v>0</v>
      </c>
    </row>
    <row r="106" customFormat="false" ht="12.75" hidden="false" customHeight="false" outlineLevel="0" collapsed="false">
      <c r="A106" s="5" t="n">
        <v>2699</v>
      </c>
      <c r="B106" s="6" t="s">
        <v>774</v>
      </c>
      <c r="C106" s="6" t="s">
        <v>12</v>
      </c>
      <c r="D106" s="6" t="s">
        <v>775</v>
      </c>
      <c r="E106" s="6" t="s">
        <v>14</v>
      </c>
      <c r="F106" s="6" t="n">
        <v>9920.890736665</v>
      </c>
      <c r="G106" s="6" t="n">
        <v>9920.891</v>
      </c>
      <c r="H106" s="0" t="s">
        <v>567</v>
      </c>
      <c r="I106" s="0" t="n">
        <v>2</v>
      </c>
      <c r="J106" s="1" t="n">
        <f aca="false">CONVERT(G106,"m^2","ha")</f>
        <v>0.9920891</v>
      </c>
      <c r="K106" s="0" t="b">
        <f aca="false">IF(J106&gt;(I106*2),((ROUNDDOWN(J106/I106,0))-1))</f>
        <v>0</v>
      </c>
    </row>
    <row r="107" customFormat="false" ht="12.75" hidden="false" customHeight="false" outlineLevel="0" collapsed="false">
      <c r="A107" s="5" t="n">
        <v>2702</v>
      </c>
      <c r="B107" s="6" t="s">
        <v>776</v>
      </c>
      <c r="C107" s="6" t="s">
        <v>12</v>
      </c>
      <c r="D107" s="6" t="s">
        <v>777</v>
      </c>
      <c r="E107" s="6" t="s">
        <v>14</v>
      </c>
      <c r="F107" s="6" t="n">
        <v>9992.179793575</v>
      </c>
      <c r="G107" s="6" t="n">
        <v>9992.18</v>
      </c>
      <c r="H107" s="0" t="s">
        <v>567</v>
      </c>
      <c r="I107" s="0" t="n">
        <v>2</v>
      </c>
      <c r="J107" s="1" t="n">
        <f aca="false">CONVERT(G107,"m^2","ha")</f>
        <v>0.999218</v>
      </c>
      <c r="K107" s="0" t="b">
        <f aca="false">IF(J107&gt;(I107*2),((ROUNDDOWN(J107/I107,0))-1))</f>
        <v>0</v>
      </c>
    </row>
    <row r="108" customFormat="false" ht="12.75" hidden="false" customHeight="false" outlineLevel="0" collapsed="false">
      <c r="A108" s="5" t="n">
        <v>2703</v>
      </c>
      <c r="B108" s="6" t="s">
        <v>778</v>
      </c>
      <c r="C108" s="6" t="s">
        <v>12</v>
      </c>
      <c r="D108" s="6" t="s">
        <v>779</v>
      </c>
      <c r="E108" s="6" t="s">
        <v>14</v>
      </c>
      <c r="F108" s="6" t="n">
        <v>26361.87846105</v>
      </c>
      <c r="G108" s="6" t="n">
        <v>26362.497</v>
      </c>
      <c r="H108" s="0" t="s">
        <v>567</v>
      </c>
      <c r="I108" s="0" t="n">
        <v>2</v>
      </c>
      <c r="J108" s="1" t="n">
        <f aca="false">CONVERT(G108,"m^2","ha")</f>
        <v>2.6362497</v>
      </c>
      <c r="K108" s="0" t="b">
        <f aca="false">IF(J108&gt;(I108*2),((ROUNDDOWN(J108/I108,0))-1))</f>
        <v>0</v>
      </c>
    </row>
    <row r="109" customFormat="false" ht="12.75" hidden="false" customHeight="false" outlineLevel="0" collapsed="false">
      <c r="A109" s="5" t="n">
        <v>2704</v>
      </c>
      <c r="B109" s="6" t="s">
        <v>780</v>
      </c>
      <c r="C109" s="6" t="s">
        <v>12</v>
      </c>
      <c r="D109" s="6" t="s">
        <v>781</v>
      </c>
      <c r="E109" s="6" t="s">
        <v>14</v>
      </c>
      <c r="F109" s="6" t="n">
        <v>20098.429720255</v>
      </c>
      <c r="G109" s="6" t="n">
        <v>20098.43</v>
      </c>
      <c r="H109" s="0" t="s">
        <v>567</v>
      </c>
      <c r="I109" s="0" t="n">
        <v>2</v>
      </c>
      <c r="J109" s="1" t="n">
        <f aca="false">CONVERT(G109,"m^2","ha")</f>
        <v>2.009843</v>
      </c>
      <c r="K109" s="0" t="b">
        <f aca="false">IF(J109&gt;(I109*2),((ROUNDDOWN(J109/I109,0))-1))</f>
        <v>0</v>
      </c>
    </row>
    <row r="110" customFormat="false" ht="12.75" hidden="false" customHeight="false" outlineLevel="0" collapsed="false">
      <c r="A110" s="5" t="n">
        <v>2713</v>
      </c>
      <c r="B110" s="6" t="s">
        <v>782</v>
      </c>
      <c r="C110" s="6" t="s">
        <v>12</v>
      </c>
      <c r="D110" s="6" t="s">
        <v>783</v>
      </c>
      <c r="E110" s="6" t="s">
        <v>14</v>
      </c>
      <c r="F110" s="6" t="n">
        <v>10006.02291934</v>
      </c>
      <c r="G110" s="6" t="n">
        <v>10006.023</v>
      </c>
      <c r="H110" s="0" t="s">
        <v>567</v>
      </c>
      <c r="I110" s="0" t="n">
        <v>2</v>
      </c>
      <c r="J110" s="1" t="n">
        <f aca="false">CONVERT(G110,"m^2","ha")</f>
        <v>1.0006023</v>
      </c>
      <c r="K110" s="8" t="b">
        <f aca="false">IF(J110&gt;(I110*2),((ROUNDDOWN(J110/I110,0))-1))</f>
        <v>0</v>
      </c>
    </row>
    <row r="111" customFormat="false" ht="12.75" hidden="false" customHeight="false" outlineLevel="0" collapsed="false">
      <c r="A111" s="5" t="n">
        <v>2715</v>
      </c>
      <c r="B111" s="6" t="s">
        <v>784</v>
      </c>
      <c r="C111" s="6" t="s">
        <v>89</v>
      </c>
      <c r="D111" s="6" t="s">
        <v>785</v>
      </c>
      <c r="E111" s="6" t="s">
        <v>14</v>
      </c>
      <c r="F111" s="6" t="n">
        <v>9997.014937355</v>
      </c>
      <c r="G111" s="6" t="n">
        <v>9997.422</v>
      </c>
      <c r="H111" s="0" t="s">
        <v>567</v>
      </c>
      <c r="I111" s="0" t="n">
        <v>2</v>
      </c>
      <c r="J111" s="1" t="n">
        <f aca="false">CONVERT(G111,"m^2","ha")</f>
        <v>0.9997422</v>
      </c>
      <c r="K111" s="8" t="b">
        <f aca="false">IF(J111&gt;(I111*2),((ROUNDDOWN(J111/I111,0))-1))</f>
        <v>0</v>
      </c>
    </row>
    <row r="112" customFormat="false" ht="12.75" hidden="false" customHeight="false" outlineLevel="0" collapsed="false">
      <c r="A112" s="5" t="n">
        <v>2716</v>
      </c>
      <c r="B112" s="6" t="s">
        <v>786</v>
      </c>
      <c r="C112" s="6" t="s">
        <v>89</v>
      </c>
      <c r="D112" s="6" t="s">
        <v>787</v>
      </c>
      <c r="E112" s="6" t="s">
        <v>14</v>
      </c>
      <c r="F112" s="6" t="n">
        <v>10006.201712285</v>
      </c>
      <c r="G112" s="6" t="n">
        <v>10006.202</v>
      </c>
      <c r="H112" s="0" t="s">
        <v>567</v>
      </c>
      <c r="I112" s="0" t="n">
        <v>2</v>
      </c>
      <c r="J112" s="1" t="n">
        <f aca="false">CONVERT(G112,"m^2","ha")</f>
        <v>1.0006202</v>
      </c>
      <c r="K112" s="8" t="b">
        <f aca="false">IF(J112&gt;(I112*2),((ROUNDDOWN(J112/I112,0))-1))</f>
        <v>0</v>
      </c>
    </row>
    <row r="113" customFormat="false" ht="12.75" hidden="false" customHeight="false" outlineLevel="0" collapsed="false">
      <c r="A113" s="5" t="n">
        <v>2717</v>
      </c>
      <c r="B113" s="6" t="s">
        <v>788</v>
      </c>
      <c r="C113" s="6" t="s">
        <v>12</v>
      </c>
      <c r="D113" s="6" t="s">
        <v>789</v>
      </c>
      <c r="E113" s="6" t="s">
        <v>14</v>
      </c>
      <c r="F113" s="6" t="n">
        <v>10195.90244584</v>
      </c>
      <c r="G113" s="6" t="n">
        <v>10195.902</v>
      </c>
      <c r="H113" s="0" t="s">
        <v>567</v>
      </c>
      <c r="I113" s="0" t="n">
        <v>2</v>
      </c>
      <c r="J113" s="1" t="n">
        <f aca="false">CONVERT(G113,"m^2","ha")</f>
        <v>1.0195902</v>
      </c>
      <c r="K113" s="0" t="b">
        <f aca="false">IF(J113&gt;(I113*2),((ROUNDDOWN(J113/I113,0))-1))</f>
        <v>0</v>
      </c>
    </row>
    <row r="115" customFormat="false" ht="12.75" hidden="false" customHeight="false" outlineLevel="0" collapsed="false">
      <c r="K115" s="0" t="n">
        <f aca="false">SUM(K2:K113)</f>
        <v>15</v>
      </c>
    </row>
  </sheetData>
  <printOptions headings="false" gridLines="false" gridLinesSet="true" horizontalCentered="true" verticalCentered="false"/>
  <pageMargins left="0.3" right="0.3" top="0.609722222222222" bottom="0.370138888888889" header="0.1" footer="0.1"/>
  <pageSetup paperSize="9" scale="100" fitToWidth="1" fitToHeight="1" pageOrder="overThenDown" orientation="portrait" blackAndWhite="false" draft="false" cellComments="none" firstPageNumber="1" useFirstPageNumber="true" horizontalDpi="300" verticalDpi="300" copies="1"/>
  <headerFooter differentFirst="false" differentOddEven="false">
    <oddHeader>&amp;C&amp;P</oddHeader>
    <oddFooter>&amp;C&amp;F</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3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K1397" activeCellId="0" sqref="K1397"/>
    </sheetView>
  </sheetViews>
  <sheetFormatPr defaultColWidth="8.6875" defaultRowHeight="12.75" zeroHeight="false" outlineLevelRow="0" outlineLevelCol="0"/>
  <cols>
    <col collapsed="false" customWidth="true" hidden="false" outlineLevel="0" max="1" min="1" style="0" width="16"/>
    <col collapsed="false" customWidth="true" hidden="false" outlineLevel="0" max="2" min="2" style="0" width="9"/>
    <col collapsed="false" customWidth="true" hidden="false" outlineLevel="0" max="3" min="3" style="0" width="19"/>
    <col collapsed="false" customWidth="true" hidden="false" outlineLevel="0" max="4" min="4" style="0" width="25"/>
    <col collapsed="false" customWidth="true" hidden="false" outlineLevel="0" max="5" min="5" style="0" width="19.66"/>
    <col collapsed="false" customWidth="true" hidden="false" outlineLevel="0" max="7" min="6" style="0" width="16"/>
  </cols>
  <sheetData>
    <row r="1" customFormat="false" ht="14.25" hidden="false" customHeight="false" outlineLevel="0" collapsed="false">
      <c r="A1" s="2" t="s">
        <v>0</v>
      </c>
      <c r="B1" s="2" t="s">
        <v>1</v>
      </c>
      <c r="C1" s="2" t="s">
        <v>2</v>
      </c>
      <c r="D1" s="2" t="s">
        <v>3</v>
      </c>
      <c r="E1" s="2" t="s">
        <v>4</v>
      </c>
      <c r="F1" s="2" t="s">
        <v>5</v>
      </c>
      <c r="G1" s="2" t="s">
        <v>6</v>
      </c>
      <c r="H1" s="2" t="s">
        <v>7</v>
      </c>
      <c r="I1" s="4" t="s">
        <v>8</v>
      </c>
      <c r="J1" s="1" t="s">
        <v>9</v>
      </c>
      <c r="K1" s="0" t="s">
        <v>10</v>
      </c>
    </row>
    <row r="2" customFormat="false" ht="12.75" hidden="false" customHeight="false" outlineLevel="0" collapsed="false">
      <c r="A2" s="5" t="n">
        <v>3</v>
      </c>
      <c r="B2" s="6" t="s">
        <v>790</v>
      </c>
      <c r="C2" s="6" t="s">
        <v>12</v>
      </c>
      <c r="D2" s="6" t="s">
        <v>791</v>
      </c>
      <c r="E2" s="6" t="s">
        <v>14</v>
      </c>
      <c r="F2" s="6" t="n">
        <v>2361.809974595</v>
      </c>
      <c r="G2" s="6" t="n">
        <v>2362.336</v>
      </c>
      <c r="H2" s="6" t="s">
        <v>792</v>
      </c>
      <c r="I2" s="0" t="n">
        <v>0.4</v>
      </c>
      <c r="J2" s="0" t="n">
        <f aca="false">CONVERT(G2,"m^2","ha")</f>
        <v>0.2362336</v>
      </c>
      <c r="K2" s="8" t="b">
        <f aca="false">IF(J2&gt;(I2*2),((ROUNDDOWN(J2/I2,0))-1))</f>
        <v>0</v>
      </c>
    </row>
    <row r="3" customFormat="false" ht="12.75" hidden="false" customHeight="false" outlineLevel="0" collapsed="false">
      <c r="A3" s="5" t="n">
        <v>4</v>
      </c>
      <c r="B3" s="6" t="s">
        <v>793</v>
      </c>
      <c r="C3" s="6" t="s">
        <v>12</v>
      </c>
      <c r="D3" s="6" t="s">
        <v>794</v>
      </c>
      <c r="E3" s="6" t="s">
        <v>14</v>
      </c>
      <c r="F3" s="6" t="n">
        <v>1911.90267623</v>
      </c>
      <c r="G3" s="6" t="n">
        <v>1911.903</v>
      </c>
      <c r="H3" s="6" t="s">
        <v>792</v>
      </c>
      <c r="I3" s="0" t="n">
        <v>0.4</v>
      </c>
      <c r="J3" s="0" t="n">
        <f aca="false">CONVERT(G3,"m^2","ha")</f>
        <v>0.1911903</v>
      </c>
      <c r="K3" s="0" t="b">
        <f aca="false">IF(J3&gt;(I3*2),((ROUNDDOWN(J3/I3,0))-1))</f>
        <v>0</v>
      </c>
    </row>
    <row r="4" customFormat="false" ht="12.75" hidden="false" customHeight="false" outlineLevel="0" collapsed="false">
      <c r="A4" s="5" t="n">
        <v>5</v>
      </c>
      <c r="B4" s="6" t="s">
        <v>795</v>
      </c>
      <c r="C4" s="6" t="s">
        <v>12</v>
      </c>
      <c r="D4" s="6" t="s">
        <v>796</v>
      </c>
      <c r="E4" s="6" t="s">
        <v>14</v>
      </c>
      <c r="F4" s="6" t="n">
        <v>13020.745441745</v>
      </c>
      <c r="G4" s="6" t="n">
        <v>13020.745</v>
      </c>
      <c r="H4" s="6" t="s">
        <v>792</v>
      </c>
      <c r="I4" s="0" t="n">
        <v>0.4</v>
      </c>
      <c r="J4" s="0" t="n">
        <f aca="false">CONVERT(G4,"m^2","ha")</f>
        <v>1.3020745</v>
      </c>
      <c r="K4" s="0" t="n">
        <f aca="false">IF(J4&gt;(I4*2),((ROUNDDOWN(J4/I4,0))-1))</f>
        <v>2</v>
      </c>
    </row>
    <row r="5" customFormat="false" ht="12.75" hidden="false" customHeight="false" outlineLevel="0" collapsed="false">
      <c r="A5" s="5" t="n">
        <v>6</v>
      </c>
      <c r="B5" s="6" t="s">
        <v>797</v>
      </c>
      <c r="C5" s="6" t="s">
        <v>12</v>
      </c>
      <c r="D5" s="6" t="s">
        <v>798</v>
      </c>
      <c r="E5" s="6" t="s">
        <v>14</v>
      </c>
      <c r="F5" s="6" t="n">
        <v>1086.99918282</v>
      </c>
      <c r="G5" s="6" t="n">
        <v>1086.999</v>
      </c>
      <c r="H5" s="6" t="s">
        <v>792</v>
      </c>
      <c r="I5" s="0" t="n">
        <v>0.4</v>
      </c>
      <c r="J5" s="0" t="n">
        <f aca="false">CONVERT(G5,"m^2","ha")</f>
        <v>0.1086999</v>
      </c>
      <c r="K5" s="0" t="b">
        <f aca="false">IF(J5&gt;(I5*2),((ROUNDDOWN(J5/I5,0))-1))</f>
        <v>0</v>
      </c>
    </row>
    <row r="6" customFormat="false" ht="12.75" hidden="false" customHeight="false" outlineLevel="0" collapsed="false">
      <c r="A6" s="5" t="n">
        <v>8</v>
      </c>
      <c r="B6" s="6" t="s">
        <v>799</v>
      </c>
      <c r="C6" s="6" t="s">
        <v>12</v>
      </c>
      <c r="D6" s="6" t="s">
        <v>800</v>
      </c>
      <c r="E6" s="6" t="s">
        <v>14</v>
      </c>
      <c r="F6" s="6" t="n">
        <v>1649.351470925</v>
      </c>
      <c r="G6" s="6" t="n">
        <v>1649.351</v>
      </c>
      <c r="H6" s="6" t="s">
        <v>792</v>
      </c>
      <c r="I6" s="0" t="n">
        <v>0.4</v>
      </c>
      <c r="J6" s="0" t="n">
        <f aca="false">CONVERT(G6,"m^2","ha")</f>
        <v>0.1649351</v>
      </c>
      <c r="K6" s="0" t="b">
        <f aca="false">IF(J6&gt;(I6*2),((ROUNDDOWN(J6/I6,0))-1))</f>
        <v>0</v>
      </c>
    </row>
    <row r="7" customFormat="false" ht="12.75" hidden="false" customHeight="false" outlineLevel="0" collapsed="false">
      <c r="A7" s="5" t="n">
        <v>9</v>
      </c>
      <c r="B7" s="6" t="s">
        <v>801</v>
      </c>
      <c r="C7" s="6" t="s">
        <v>12</v>
      </c>
      <c r="D7" s="6" t="s">
        <v>802</v>
      </c>
      <c r="E7" s="6" t="s">
        <v>14</v>
      </c>
      <c r="F7" s="6" t="n">
        <v>2520.408558715</v>
      </c>
      <c r="G7" s="6" t="n">
        <v>2518.778</v>
      </c>
      <c r="H7" s="6" t="s">
        <v>792</v>
      </c>
      <c r="I7" s="0" t="n">
        <v>0.4</v>
      </c>
      <c r="J7" s="0" t="n">
        <f aca="false">CONVERT(G7,"m^2","ha")</f>
        <v>0.2518778</v>
      </c>
      <c r="K7" s="0" t="b">
        <f aca="false">IF(J7&gt;(I7*2),((ROUNDDOWN(J7/I7,0))-1))</f>
        <v>0</v>
      </c>
    </row>
    <row r="8" customFormat="false" ht="12.75" hidden="false" customHeight="false" outlineLevel="0" collapsed="false">
      <c r="A8" s="5" t="n">
        <v>10</v>
      </c>
      <c r="B8" s="6" t="s">
        <v>803</v>
      </c>
      <c r="C8" s="6" t="s">
        <v>12</v>
      </c>
      <c r="D8" s="6" t="s">
        <v>804</v>
      </c>
      <c r="E8" s="6" t="s">
        <v>14</v>
      </c>
      <c r="F8" s="6" t="n">
        <v>12198.676337805</v>
      </c>
      <c r="G8" s="6" t="n">
        <v>12198.676</v>
      </c>
      <c r="H8" s="6" t="s">
        <v>792</v>
      </c>
      <c r="I8" s="0" t="n">
        <v>0.4</v>
      </c>
      <c r="J8" s="0" t="n">
        <f aca="false">CONVERT(G8,"m^2","ha")</f>
        <v>1.2198676</v>
      </c>
      <c r="K8" s="0" t="n">
        <f aca="false">IF(J8&gt;(I8*2),((ROUNDDOWN(J8/I8,0))-1))</f>
        <v>2</v>
      </c>
    </row>
    <row r="9" customFormat="false" ht="12.75" hidden="false" customHeight="false" outlineLevel="0" collapsed="false">
      <c r="A9" s="5" t="n">
        <v>11</v>
      </c>
      <c r="B9" s="6" t="s">
        <v>805</v>
      </c>
      <c r="C9" s="6" t="s">
        <v>12</v>
      </c>
      <c r="D9" s="6" t="s">
        <v>806</v>
      </c>
      <c r="E9" s="6" t="s">
        <v>14</v>
      </c>
      <c r="F9" s="6" t="n">
        <v>923.60951005</v>
      </c>
      <c r="G9" s="6" t="n">
        <v>923.61</v>
      </c>
      <c r="H9" s="6" t="s">
        <v>792</v>
      </c>
      <c r="I9" s="0" t="n">
        <v>0.4</v>
      </c>
      <c r="J9" s="0" t="n">
        <f aca="false">CONVERT(G9,"m^2","ha")</f>
        <v>0.092361</v>
      </c>
      <c r="K9" s="0" t="b">
        <f aca="false">IF(J9&gt;(I9*2),((ROUNDDOWN(J9/I9,0))-1))</f>
        <v>0</v>
      </c>
    </row>
    <row r="10" customFormat="false" ht="12.75" hidden="false" customHeight="false" outlineLevel="0" collapsed="false">
      <c r="A10" s="5" t="n">
        <v>12</v>
      </c>
      <c r="B10" s="6" t="s">
        <v>807</v>
      </c>
      <c r="C10" s="6" t="s">
        <v>12</v>
      </c>
      <c r="D10" s="6" t="s">
        <v>808</v>
      </c>
      <c r="E10" s="6" t="s">
        <v>14</v>
      </c>
      <c r="F10" s="6" t="n">
        <v>1049.12414323</v>
      </c>
      <c r="G10" s="6" t="n">
        <v>1049.124</v>
      </c>
      <c r="H10" s="6" t="s">
        <v>792</v>
      </c>
      <c r="I10" s="0" t="n">
        <v>0.4</v>
      </c>
      <c r="J10" s="0" t="n">
        <f aca="false">CONVERT(G10,"m^2","ha")</f>
        <v>0.1049124</v>
      </c>
      <c r="K10" s="0" t="b">
        <f aca="false">IF(J10&gt;(I10*2),((ROUNDDOWN(J10/I10,0))-1))</f>
        <v>0</v>
      </c>
    </row>
    <row r="11" customFormat="false" ht="12.75" hidden="false" customHeight="false" outlineLevel="0" collapsed="false">
      <c r="A11" s="5" t="n">
        <v>14</v>
      </c>
      <c r="B11" s="6" t="s">
        <v>809</v>
      </c>
      <c r="C11" s="6" t="s">
        <v>12</v>
      </c>
      <c r="D11" s="6" t="s">
        <v>810</v>
      </c>
      <c r="E11" s="6" t="s">
        <v>14</v>
      </c>
      <c r="F11" s="6" t="n">
        <v>3351.36937019</v>
      </c>
      <c r="G11" s="6" t="n">
        <v>3351.369</v>
      </c>
      <c r="H11" s="6" t="s">
        <v>792</v>
      </c>
      <c r="I11" s="0" t="n">
        <v>0.4</v>
      </c>
      <c r="J11" s="0" t="n">
        <f aca="false">CONVERT(G11,"m^2","ha")</f>
        <v>0.3351369</v>
      </c>
      <c r="K11" s="0" t="b">
        <f aca="false">IF(J11&gt;(I11*2),((ROUNDDOWN(J11/I11,0))-1))</f>
        <v>0</v>
      </c>
    </row>
    <row r="12" customFormat="false" ht="12.75" hidden="false" customHeight="false" outlineLevel="0" collapsed="false">
      <c r="A12" s="5" t="n">
        <v>15</v>
      </c>
      <c r="B12" s="6" t="s">
        <v>811</v>
      </c>
      <c r="C12" s="6" t="s">
        <v>12</v>
      </c>
      <c r="D12" s="6" t="s">
        <v>812</v>
      </c>
      <c r="E12" s="6" t="s">
        <v>14</v>
      </c>
      <c r="F12" s="6" t="n">
        <v>1613.50119761</v>
      </c>
      <c r="G12" s="6" t="n">
        <v>1613.501</v>
      </c>
      <c r="H12" s="6" t="s">
        <v>792</v>
      </c>
      <c r="I12" s="0" t="n">
        <v>0.4</v>
      </c>
      <c r="J12" s="0" t="n">
        <f aca="false">CONVERT(G12,"m^2","ha")</f>
        <v>0.1613501</v>
      </c>
      <c r="K12" s="0" t="b">
        <f aca="false">IF(J12&gt;(I12*2),((ROUNDDOWN(J12/I12,0))-1))</f>
        <v>0</v>
      </c>
    </row>
    <row r="13" customFormat="false" ht="12.75" hidden="false" customHeight="false" outlineLevel="0" collapsed="false">
      <c r="A13" s="5" t="n">
        <v>16</v>
      </c>
      <c r="B13" s="6" t="s">
        <v>813</v>
      </c>
      <c r="C13" s="6" t="s">
        <v>12</v>
      </c>
      <c r="D13" s="6" t="s">
        <v>814</v>
      </c>
      <c r="E13" s="6" t="s">
        <v>14</v>
      </c>
      <c r="F13" s="6" t="n">
        <v>1147.3303786</v>
      </c>
      <c r="G13" s="6" t="n">
        <v>1147.33</v>
      </c>
      <c r="H13" s="6" t="s">
        <v>792</v>
      </c>
      <c r="I13" s="0" t="n">
        <v>0.4</v>
      </c>
      <c r="J13" s="0" t="n">
        <f aca="false">CONVERT(G13,"m^2","ha")</f>
        <v>0.114733</v>
      </c>
      <c r="K13" s="0" t="b">
        <f aca="false">IF(J13&gt;(I13*2),((ROUNDDOWN(J13/I13,0))-1))</f>
        <v>0</v>
      </c>
    </row>
    <row r="14" customFormat="false" ht="12.75" hidden="false" customHeight="false" outlineLevel="0" collapsed="false">
      <c r="A14" s="5" t="n">
        <v>17</v>
      </c>
      <c r="B14" s="6" t="s">
        <v>815</v>
      </c>
      <c r="C14" s="6" t="s">
        <v>89</v>
      </c>
      <c r="D14" s="6" t="s">
        <v>816</v>
      </c>
      <c r="E14" s="6" t="s">
        <v>14</v>
      </c>
      <c r="F14" s="6" t="n">
        <v>1557.20377144</v>
      </c>
      <c r="G14" s="6" t="n">
        <v>1557.204</v>
      </c>
      <c r="H14" s="6" t="s">
        <v>792</v>
      </c>
      <c r="I14" s="0" t="n">
        <v>0.4</v>
      </c>
      <c r="J14" s="0" t="n">
        <f aca="false">CONVERT(G14,"m^2","ha")</f>
        <v>0.1557204</v>
      </c>
      <c r="K14" s="0" t="b">
        <f aca="false">IF(J14&gt;(I14*2),((ROUNDDOWN(J14/I14,0))-1))</f>
        <v>0</v>
      </c>
    </row>
    <row r="15" customFormat="false" ht="12.75" hidden="false" customHeight="false" outlineLevel="0" collapsed="false">
      <c r="A15" s="5" t="n">
        <v>18</v>
      </c>
      <c r="B15" s="6" t="s">
        <v>817</v>
      </c>
      <c r="C15" s="6" t="s">
        <v>12</v>
      </c>
      <c r="D15" s="6" t="s">
        <v>818</v>
      </c>
      <c r="E15" s="6" t="s">
        <v>14</v>
      </c>
      <c r="F15" s="6" t="n">
        <v>1472.71318675</v>
      </c>
      <c r="G15" s="6" t="n">
        <v>1472.713</v>
      </c>
      <c r="H15" s="6" t="s">
        <v>792</v>
      </c>
      <c r="I15" s="0" t="n">
        <v>0.4</v>
      </c>
      <c r="J15" s="0" t="n">
        <f aca="false">CONVERT(G15,"m^2","ha")</f>
        <v>0.1472713</v>
      </c>
      <c r="K15" s="0" t="b">
        <f aca="false">IF(J15&gt;(I15*2),((ROUNDDOWN(J15/I15,0))-1))</f>
        <v>0</v>
      </c>
    </row>
    <row r="16" customFormat="false" ht="12.75" hidden="false" customHeight="false" outlineLevel="0" collapsed="false">
      <c r="A16" s="5" t="n">
        <v>20</v>
      </c>
      <c r="B16" s="6" t="s">
        <v>819</v>
      </c>
      <c r="C16" s="6" t="s">
        <v>89</v>
      </c>
      <c r="D16" s="6" t="s">
        <v>820</v>
      </c>
      <c r="E16" s="6" t="s">
        <v>14</v>
      </c>
      <c r="F16" s="6" t="n">
        <v>1388.530868945</v>
      </c>
      <c r="G16" s="6" t="n">
        <v>1388.531</v>
      </c>
      <c r="H16" s="6" t="s">
        <v>792</v>
      </c>
      <c r="I16" s="0" t="n">
        <v>0.4</v>
      </c>
      <c r="J16" s="0" t="n">
        <f aca="false">CONVERT(G16,"m^2","ha")</f>
        <v>0.1388531</v>
      </c>
      <c r="K16" s="0" t="b">
        <f aca="false">IF(J16&gt;(I16*2),((ROUNDDOWN(J16/I16,0))-1))</f>
        <v>0</v>
      </c>
    </row>
    <row r="17" customFormat="false" ht="12.75" hidden="false" customHeight="false" outlineLevel="0" collapsed="false">
      <c r="A17" s="5" t="n">
        <v>21</v>
      </c>
      <c r="B17" s="6" t="s">
        <v>821</v>
      </c>
      <c r="C17" s="6" t="s">
        <v>89</v>
      </c>
      <c r="D17" s="6" t="s">
        <v>822</v>
      </c>
      <c r="E17" s="6" t="s">
        <v>14</v>
      </c>
      <c r="F17" s="6" t="n">
        <v>4086.173803275</v>
      </c>
      <c r="G17" s="6" t="n">
        <v>4086.174</v>
      </c>
      <c r="H17" s="6" t="s">
        <v>792</v>
      </c>
      <c r="I17" s="0" t="n">
        <v>0.4</v>
      </c>
      <c r="J17" s="0" t="n">
        <f aca="false">CONVERT(G17,"m^2","ha")</f>
        <v>0.4086174</v>
      </c>
      <c r="K17" s="0" t="b">
        <f aca="false">IF(J17&gt;(I17*2),((ROUNDDOWN(J17/I17,0))-1))</f>
        <v>0</v>
      </c>
    </row>
    <row r="18" customFormat="false" ht="12.75" hidden="false" customHeight="false" outlineLevel="0" collapsed="false">
      <c r="A18" s="5" t="n">
        <v>22</v>
      </c>
      <c r="B18" s="6" t="s">
        <v>823</v>
      </c>
      <c r="C18" s="6" t="s">
        <v>12</v>
      </c>
      <c r="D18" s="6" t="s">
        <v>824</v>
      </c>
      <c r="E18" s="6" t="s">
        <v>14</v>
      </c>
      <c r="F18" s="6" t="n">
        <v>1624.218482025</v>
      </c>
      <c r="G18" s="6" t="n">
        <v>1624.218</v>
      </c>
      <c r="H18" s="6" t="s">
        <v>792</v>
      </c>
      <c r="I18" s="0" t="n">
        <v>0.4</v>
      </c>
      <c r="J18" s="0" t="n">
        <f aca="false">CONVERT(G18,"m^2","ha")</f>
        <v>0.1624218</v>
      </c>
      <c r="K18" s="0" t="b">
        <f aca="false">IF(J18&gt;(I18*2),((ROUNDDOWN(J18/I18,0))-1))</f>
        <v>0</v>
      </c>
    </row>
    <row r="19" customFormat="false" ht="12.75" hidden="false" customHeight="false" outlineLevel="0" collapsed="false">
      <c r="A19" s="5" t="n">
        <v>23</v>
      </c>
      <c r="B19" s="6" t="s">
        <v>825</v>
      </c>
      <c r="C19" s="6" t="s">
        <v>12</v>
      </c>
      <c r="D19" s="6" t="s">
        <v>826</v>
      </c>
      <c r="E19" s="6" t="s">
        <v>14</v>
      </c>
      <c r="F19" s="6" t="n">
        <v>1006.73180129</v>
      </c>
      <c r="G19" s="6" t="n">
        <v>1005.935</v>
      </c>
      <c r="H19" s="6" t="s">
        <v>792</v>
      </c>
      <c r="I19" s="0" t="n">
        <v>0.4</v>
      </c>
      <c r="J19" s="0" t="n">
        <f aca="false">CONVERT(G19,"m^2","ha")</f>
        <v>0.1005935</v>
      </c>
      <c r="K19" s="0" t="b">
        <f aca="false">IF(J19&gt;(I19*2),((ROUNDDOWN(J19/I19,0))-1))</f>
        <v>0</v>
      </c>
    </row>
    <row r="20" customFormat="false" ht="12.75" hidden="false" customHeight="false" outlineLevel="0" collapsed="false">
      <c r="A20" s="5" t="n">
        <v>24</v>
      </c>
      <c r="B20" s="6" t="s">
        <v>827</v>
      </c>
      <c r="C20" s="6" t="s">
        <v>12</v>
      </c>
      <c r="D20" s="6" t="s">
        <v>828</v>
      </c>
      <c r="E20" s="6" t="s">
        <v>14</v>
      </c>
      <c r="F20" s="6" t="n">
        <v>2255.035076315</v>
      </c>
      <c r="G20" s="6" t="n">
        <v>2254.158</v>
      </c>
      <c r="H20" s="6" t="s">
        <v>792</v>
      </c>
      <c r="I20" s="0" t="n">
        <v>0.4</v>
      </c>
      <c r="J20" s="0" t="n">
        <f aca="false">CONVERT(G20,"m^2","ha")</f>
        <v>0.2254158</v>
      </c>
      <c r="K20" s="0" t="b">
        <f aca="false">IF(J20&gt;(I20*2),((ROUNDDOWN(J20/I20,0))-1))</f>
        <v>0</v>
      </c>
    </row>
    <row r="21" customFormat="false" ht="12.75" hidden="false" customHeight="false" outlineLevel="0" collapsed="false">
      <c r="A21" s="5" t="n">
        <v>25</v>
      </c>
      <c r="B21" s="6" t="s">
        <v>829</v>
      </c>
      <c r="C21" s="6" t="s">
        <v>12</v>
      </c>
      <c r="D21" s="6" t="s">
        <v>830</v>
      </c>
      <c r="E21" s="6" t="s">
        <v>14</v>
      </c>
      <c r="F21" s="6" t="n">
        <v>881.264286755</v>
      </c>
      <c r="G21" s="6" t="n">
        <v>881.264</v>
      </c>
      <c r="H21" s="6" t="s">
        <v>792</v>
      </c>
      <c r="I21" s="0" t="n">
        <v>0.4</v>
      </c>
      <c r="J21" s="0" t="n">
        <f aca="false">CONVERT(G21,"m^2","ha")</f>
        <v>0.0881264</v>
      </c>
      <c r="K21" s="0" t="b">
        <f aca="false">IF(J21&gt;(I21*2),((ROUNDDOWN(J21/I21,0))-1))</f>
        <v>0</v>
      </c>
    </row>
    <row r="22" customFormat="false" ht="12.75" hidden="false" customHeight="false" outlineLevel="0" collapsed="false">
      <c r="A22" s="5" t="n">
        <v>26</v>
      </c>
      <c r="B22" s="6" t="s">
        <v>831</v>
      </c>
      <c r="C22" s="6" t="s">
        <v>12</v>
      </c>
      <c r="D22" s="6" t="s">
        <v>832</v>
      </c>
      <c r="E22" s="6" t="s">
        <v>14</v>
      </c>
      <c r="F22" s="6" t="n">
        <v>1876.101417155</v>
      </c>
      <c r="G22" s="6" t="n">
        <v>1876.101</v>
      </c>
      <c r="H22" s="6" t="s">
        <v>792</v>
      </c>
      <c r="I22" s="0" t="n">
        <v>0.4</v>
      </c>
      <c r="J22" s="0" t="n">
        <f aca="false">CONVERT(G22,"m^2","ha")</f>
        <v>0.1876101</v>
      </c>
      <c r="K22" s="0" t="b">
        <f aca="false">IF(J22&gt;(I22*2),((ROUNDDOWN(J22/I22,0))-1))</f>
        <v>0</v>
      </c>
    </row>
    <row r="23" customFormat="false" ht="12.75" hidden="false" customHeight="false" outlineLevel="0" collapsed="false">
      <c r="A23" s="5" t="n">
        <v>27</v>
      </c>
      <c r="B23" s="6" t="s">
        <v>833</v>
      </c>
      <c r="C23" s="6" t="s">
        <v>89</v>
      </c>
      <c r="D23" s="6" t="s">
        <v>834</v>
      </c>
      <c r="E23" s="6" t="s">
        <v>14</v>
      </c>
      <c r="F23" s="6" t="n">
        <v>4961.70359794</v>
      </c>
      <c r="G23" s="6" t="n">
        <v>4961.175</v>
      </c>
      <c r="H23" s="6" t="s">
        <v>792</v>
      </c>
      <c r="I23" s="0" t="n">
        <v>0.4</v>
      </c>
      <c r="J23" s="0" t="n">
        <f aca="false">CONVERT(G23,"m^2","ha")</f>
        <v>0.4961175</v>
      </c>
      <c r="K23" s="0" t="b">
        <f aca="false">IF(J23&gt;(I23*2),((ROUNDDOWN(J23/I23,0))-1))</f>
        <v>0</v>
      </c>
    </row>
    <row r="24" customFormat="false" ht="12.75" hidden="false" customHeight="false" outlineLevel="0" collapsed="false">
      <c r="A24" s="5" t="n">
        <v>28</v>
      </c>
      <c r="B24" s="6" t="s">
        <v>835</v>
      </c>
      <c r="C24" s="6" t="s">
        <v>12</v>
      </c>
      <c r="D24" s="6" t="s">
        <v>836</v>
      </c>
      <c r="E24" s="6" t="s">
        <v>14</v>
      </c>
      <c r="F24" s="6" t="n">
        <v>1425.06783857</v>
      </c>
      <c r="G24" s="6" t="n">
        <v>1425.068</v>
      </c>
      <c r="H24" s="6" t="s">
        <v>792</v>
      </c>
      <c r="I24" s="0" t="n">
        <v>0.4</v>
      </c>
      <c r="J24" s="0" t="n">
        <f aca="false">CONVERT(G24,"m^2","ha")</f>
        <v>0.1425068</v>
      </c>
      <c r="K24" s="0" t="b">
        <f aca="false">IF(J24&gt;(I24*2),((ROUNDDOWN(J24/I24,0))-1))</f>
        <v>0</v>
      </c>
    </row>
    <row r="25" customFormat="false" ht="12.75" hidden="false" customHeight="false" outlineLevel="0" collapsed="false">
      <c r="A25" s="5" t="n">
        <v>29</v>
      </c>
      <c r="B25" s="6" t="s">
        <v>837</v>
      </c>
      <c r="C25" s="6" t="s">
        <v>12</v>
      </c>
      <c r="D25" s="6" t="s">
        <v>838</v>
      </c>
      <c r="E25" s="6" t="s">
        <v>14</v>
      </c>
      <c r="F25" s="6" t="n">
        <v>9730.743229225</v>
      </c>
      <c r="G25" s="6" t="n">
        <v>9730.743</v>
      </c>
      <c r="H25" s="6" t="s">
        <v>792</v>
      </c>
      <c r="I25" s="0" t="n">
        <v>0.4</v>
      </c>
      <c r="J25" s="0" t="n">
        <f aca="false">CONVERT(G25,"m^2","ha")</f>
        <v>0.9730743</v>
      </c>
      <c r="K25" s="0" t="n">
        <f aca="false">IF(J25&gt;(I25*2),((ROUNDDOWN(J25/I25,0))-1))</f>
        <v>1</v>
      </c>
    </row>
    <row r="26" customFormat="false" ht="12.75" hidden="false" customHeight="false" outlineLevel="0" collapsed="false">
      <c r="A26" s="5" t="n">
        <v>32</v>
      </c>
      <c r="B26" s="6" t="s">
        <v>839</v>
      </c>
      <c r="C26" s="6" t="s">
        <v>12</v>
      </c>
      <c r="D26" s="6" t="s">
        <v>840</v>
      </c>
      <c r="E26" s="6" t="s">
        <v>14</v>
      </c>
      <c r="F26" s="6" t="n">
        <v>4024.54350107</v>
      </c>
      <c r="G26" s="6" t="n">
        <v>4024.544</v>
      </c>
      <c r="H26" s="6" t="s">
        <v>792</v>
      </c>
      <c r="I26" s="0" t="n">
        <v>0.4</v>
      </c>
      <c r="J26" s="0" t="n">
        <f aca="false">CONVERT(G26,"m^2","ha")</f>
        <v>0.4024544</v>
      </c>
      <c r="K26" s="0" t="b">
        <f aca="false">IF(J26&gt;(I26*2),((ROUNDDOWN(J26/I26,0))-1))</f>
        <v>0</v>
      </c>
    </row>
    <row r="27" customFormat="false" ht="12.75" hidden="false" customHeight="false" outlineLevel="0" collapsed="false">
      <c r="A27" s="5" t="n">
        <v>33</v>
      </c>
      <c r="B27" s="6" t="s">
        <v>841</v>
      </c>
      <c r="C27" s="6" t="s">
        <v>12</v>
      </c>
      <c r="D27" s="6" t="s">
        <v>842</v>
      </c>
      <c r="E27" s="6" t="s">
        <v>14</v>
      </c>
      <c r="F27" s="6" t="n">
        <v>1517.76730143</v>
      </c>
      <c r="G27" s="6" t="n">
        <v>1517.767</v>
      </c>
      <c r="H27" s="6" t="s">
        <v>792</v>
      </c>
      <c r="I27" s="0" t="n">
        <v>0.4</v>
      </c>
      <c r="J27" s="0" t="n">
        <f aca="false">CONVERT(G27,"m^2","ha")</f>
        <v>0.1517767</v>
      </c>
      <c r="K27" s="0" t="b">
        <f aca="false">IF(J27&gt;(I27*2),((ROUNDDOWN(J27/I27,0))-1))</f>
        <v>0</v>
      </c>
    </row>
    <row r="28" customFormat="false" ht="12.75" hidden="false" customHeight="false" outlineLevel="0" collapsed="false">
      <c r="A28" s="5" t="n">
        <v>35</v>
      </c>
      <c r="B28" s="6" t="s">
        <v>843</v>
      </c>
      <c r="C28" s="6" t="s">
        <v>89</v>
      </c>
      <c r="D28" s="6" t="s">
        <v>844</v>
      </c>
      <c r="E28" s="6" t="s">
        <v>14</v>
      </c>
      <c r="F28" s="6" t="n">
        <v>1156.7509646</v>
      </c>
      <c r="G28" s="6" t="n">
        <v>1156.751</v>
      </c>
      <c r="H28" s="6" t="s">
        <v>792</v>
      </c>
      <c r="I28" s="0" t="n">
        <v>0.4</v>
      </c>
      <c r="J28" s="0" t="n">
        <f aca="false">CONVERT(G28,"m^2","ha")</f>
        <v>0.1156751</v>
      </c>
      <c r="K28" s="0" t="b">
        <f aca="false">IF(J28&gt;(I28*2),((ROUNDDOWN(J28/I28,0))-1))</f>
        <v>0</v>
      </c>
    </row>
    <row r="29" customFormat="false" ht="12.75" hidden="false" customHeight="false" outlineLevel="0" collapsed="false">
      <c r="A29" s="5" t="n">
        <v>36</v>
      </c>
      <c r="B29" s="6" t="s">
        <v>845</v>
      </c>
      <c r="C29" s="6" t="s">
        <v>12</v>
      </c>
      <c r="D29" s="6" t="s">
        <v>846</v>
      </c>
      <c r="E29" s="6" t="s">
        <v>14</v>
      </c>
      <c r="F29" s="6" t="n">
        <v>856.352621635</v>
      </c>
      <c r="G29" s="6" t="n">
        <v>856.353</v>
      </c>
      <c r="H29" s="6" t="s">
        <v>792</v>
      </c>
      <c r="I29" s="0" t="n">
        <v>0.4</v>
      </c>
      <c r="J29" s="0" t="n">
        <f aca="false">CONVERT(G29,"m^2","ha")</f>
        <v>0.0856353</v>
      </c>
      <c r="K29" s="0" t="b">
        <f aca="false">IF(J29&gt;(I29*2),((ROUNDDOWN(J29/I29,0))-1))</f>
        <v>0</v>
      </c>
    </row>
    <row r="30" customFormat="false" ht="12.75" hidden="false" customHeight="false" outlineLevel="0" collapsed="false">
      <c r="A30" s="5" t="n">
        <v>38</v>
      </c>
      <c r="B30" s="6" t="s">
        <v>847</v>
      </c>
      <c r="C30" s="6" t="s">
        <v>12</v>
      </c>
      <c r="D30" s="6" t="s">
        <v>848</v>
      </c>
      <c r="E30" s="6" t="s">
        <v>14</v>
      </c>
      <c r="F30" s="6" t="n">
        <v>1892.182991865</v>
      </c>
      <c r="G30" s="6" t="n">
        <v>1892.183</v>
      </c>
      <c r="H30" s="6" t="s">
        <v>792</v>
      </c>
      <c r="I30" s="0" t="n">
        <v>0.4</v>
      </c>
      <c r="J30" s="0" t="n">
        <f aca="false">CONVERT(G30,"m^2","ha")</f>
        <v>0.1892183</v>
      </c>
      <c r="K30" s="0" t="b">
        <f aca="false">IF(J30&gt;(I30*2),((ROUNDDOWN(J30/I30,0))-1))</f>
        <v>0</v>
      </c>
    </row>
    <row r="31" customFormat="false" ht="12.75" hidden="false" customHeight="false" outlineLevel="0" collapsed="false">
      <c r="A31" s="5" t="n">
        <v>41</v>
      </c>
      <c r="B31" s="6" t="s">
        <v>849</v>
      </c>
      <c r="C31" s="6" t="s">
        <v>12</v>
      </c>
      <c r="D31" s="6" t="s">
        <v>850</v>
      </c>
      <c r="E31" s="6" t="s">
        <v>14</v>
      </c>
      <c r="F31" s="6" t="n">
        <v>856.327280955</v>
      </c>
      <c r="G31" s="6" t="n">
        <v>856.327</v>
      </c>
      <c r="H31" s="6" t="s">
        <v>792</v>
      </c>
      <c r="I31" s="0" t="n">
        <v>0.4</v>
      </c>
      <c r="J31" s="0" t="n">
        <f aca="false">CONVERT(G31,"m^2","ha")</f>
        <v>0.0856327</v>
      </c>
      <c r="K31" s="0" t="b">
        <f aca="false">IF(J31&gt;(I31*2),((ROUNDDOWN(J31/I31,0))-1))</f>
        <v>0</v>
      </c>
    </row>
    <row r="32" customFormat="false" ht="12.75" hidden="false" customHeight="false" outlineLevel="0" collapsed="false">
      <c r="A32" s="5" t="n">
        <v>42</v>
      </c>
      <c r="B32" s="6" t="s">
        <v>851</v>
      </c>
      <c r="C32" s="6" t="s">
        <v>89</v>
      </c>
      <c r="D32" s="6" t="s">
        <v>852</v>
      </c>
      <c r="E32" s="6" t="s">
        <v>14</v>
      </c>
      <c r="F32" s="6" t="n">
        <v>2789.00593677</v>
      </c>
      <c r="G32" s="6" t="n">
        <v>2789.006</v>
      </c>
      <c r="H32" s="6" t="s">
        <v>792</v>
      </c>
      <c r="I32" s="0" t="n">
        <v>0.4</v>
      </c>
      <c r="J32" s="0" t="n">
        <f aca="false">CONVERT(G32,"m^2","ha")</f>
        <v>0.2789006</v>
      </c>
      <c r="K32" s="0" t="b">
        <f aca="false">IF(J32&gt;(I32*2),((ROUNDDOWN(J32/I32,0))-1))</f>
        <v>0</v>
      </c>
    </row>
    <row r="33" customFormat="false" ht="12.75" hidden="false" customHeight="false" outlineLevel="0" collapsed="false">
      <c r="A33" s="5" t="n">
        <v>43</v>
      </c>
      <c r="B33" s="6" t="s">
        <v>853</v>
      </c>
      <c r="C33" s="6" t="s">
        <v>12</v>
      </c>
      <c r="D33" s="6" t="s">
        <v>854</v>
      </c>
      <c r="E33" s="6" t="s">
        <v>14</v>
      </c>
      <c r="F33" s="6" t="n">
        <v>6760.221278625</v>
      </c>
      <c r="G33" s="6" t="n">
        <v>6760.221</v>
      </c>
      <c r="H33" s="6" t="s">
        <v>792</v>
      </c>
      <c r="I33" s="0" t="n">
        <v>0.4</v>
      </c>
      <c r="J33" s="0" t="n">
        <f aca="false">CONVERT(G33,"m^2","ha")</f>
        <v>0.6760221</v>
      </c>
      <c r="K33" s="0" t="b">
        <f aca="false">IF(J33&gt;(I33*2),((ROUNDDOWN(J33/I33,0))-1))</f>
        <v>0</v>
      </c>
    </row>
    <row r="34" customFormat="false" ht="12.75" hidden="false" customHeight="false" outlineLevel="0" collapsed="false">
      <c r="A34" s="5" t="n">
        <v>44</v>
      </c>
      <c r="B34" s="6" t="s">
        <v>855</v>
      </c>
      <c r="C34" s="6" t="s">
        <v>12</v>
      </c>
      <c r="D34" s="6" t="s">
        <v>856</v>
      </c>
      <c r="E34" s="6" t="s">
        <v>14</v>
      </c>
      <c r="F34" s="6" t="n">
        <v>1795.439034135</v>
      </c>
      <c r="G34" s="6" t="n">
        <v>1795.439</v>
      </c>
      <c r="H34" s="6" t="s">
        <v>792</v>
      </c>
      <c r="I34" s="0" t="n">
        <v>0.4</v>
      </c>
      <c r="J34" s="0" t="n">
        <f aca="false">CONVERT(G34,"m^2","ha")</f>
        <v>0.1795439</v>
      </c>
      <c r="K34" s="0" t="b">
        <f aca="false">IF(J34&gt;(I34*2),((ROUNDDOWN(J34/I34,0))-1))</f>
        <v>0</v>
      </c>
    </row>
    <row r="35" customFormat="false" ht="12.75" hidden="false" customHeight="false" outlineLevel="0" collapsed="false">
      <c r="A35" s="5" t="n">
        <v>45</v>
      </c>
      <c r="B35" s="6" t="s">
        <v>857</v>
      </c>
      <c r="C35" s="6" t="s">
        <v>12</v>
      </c>
      <c r="D35" s="6" t="s">
        <v>858</v>
      </c>
      <c r="E35" s="6" t="s">
        <v>14</v>
      </c>
      <c r="F35" s="6" t="n">
        <v>1726.52969294</v>
      </c>
      <c r="G35" s="6" t="n">
        <v>1726.53</v>
      </c>
      <c r="H35" s="6" t="s">
        <v>792</v>
      </c>
      <c r="I35" s="0" t="n">
        <v>0.4</v>
      </c>
      <c r="J35" s="0" t="n">
        <f aca="false">CONVERT(G35,"m^2","ha")</f>
        <v>0.172653</v>
      </c>
      <c r="K35" s="0" t="b">
        <f aca="false">IF(J35&gt;(I35*2),((ROUNDDOWN(J35/I35,0))-1))</f>
        <v>0</v>
      </c>
    </row>
    <row r="36" customFormat="false" ht="12.75" hidden="false" customHeight="false" outlineLevel="0" collapsed="false">
      <c r="A36" s="5" t="n">
        <v>46</v>
      </c>
      <c r="B36" s="6" t="s">
        <v>859</v>
      </c>
      <c r="C36" s="6" t="s">
        <v>89</v>
      </c>
      <c r="D36" s="6" t="s">
        <v>860</v>
      </c>
      <c r="E36" s="6" t="s">
        <v>14</v>
      </c>
      <c r="F36" s="6" t="n">
        <v>1427.58738657</v>
      </c>
      <c r="G36" s="6" t="n">
        <v>1427.075</v>
      </c>
      <c r="H36" s="6" t="s">
        <v>792</v>
      </c>
      <c r="I36" s="0" t="n">
        <v>0.4</v>
      </c>
      <c r="J36" s="0" t="n">
        <f aca="false">CONVERT(G36,"m^2","ha")</f>
        <v>0.1427075</v>
      </c>
      <c r="K36" s="0" t="b">
        <f aca="false">IF(J36&gt;(I36*2),((ROUNDDOWN(J36/I36,0))-1))</f>
        <v>0</v>
      </c>
    </row>
    <row r="37" customFormat="false" ht="12.75" hidden="false" customHeight="false" outlineLevel="0" collapsed="false">
      <c r="A37" s="5" t="n">
        <v>47</v>
      </c>
      <c r="B37" s="6" t="s">
        <v>861</v>
      </c>
      <c r="C37" s="6" t="s">
        <v>12</v>
      </c>
      <c r="D37" s="6" t="s">
        <v>862</v>
      </c>
      <c r="E37" s="6" t="s">
        <v>14</v>
      </c>
      <c r="F37" s="6" t="n">
        <v>2680.0525087</v>
      </c>
      <c r="G37" s="6" t="n">
        <v>2680.053</v>
      </c>
      <c r="H37" s="6" t="s">
        <v>792</v>
      </c>
      <c r="I37" s="0" t="n">
        <v>0.4</v>
      </c>
      <c r="J37" s="0" t="n">
        <f aca="false">CONVERT(G37,"m^2","ha")</f>
        <v>0.2680053</v>
      </c>
      <c r="K37" s="0" t="b">
        <f aca="false">IF(J37&gt;(I37*2),((ROUNDDOWN(J37/I37,0))-1))</f>
        <v>0</v>
      </c>
    </row>
    <row r="38" customFormat="false" ht="12.75" hidden="false" customHeight="false" outlineLevel="0" collapsed="false">
      <c r="A38" s="5" t="n">
        <v>48</v>
      </c>
      <c r="B38" s="6" t="s">
        <v>863</v>
      </c>
      <c r="C38" s="6" t="s">
        <v>12</v>
      </c>
      <c r="D38" s="6" t="s">
        <v>864</v>
      </c>
      <c r="E38" s="6" t="s">
        <v>14</v>
      </c>
      <c r="F38" s="6" t="n">
        <v>10815.02174701</v>
      </c>
      <c r="G38" s="6" t="n">
        <v>10815.022</v>
      </c>
      <c r="H38" s="6" t="s">
        <v>792</v>
      </c>
      <c r="I38" s="0" t="n">
        <v>0.4</v>
      </c>
      <c r="J38" s="0" t="n">
        <f aca="false">CONVERT(G38,"m^2","ha")</f>
        <v>1.0815022</v>
      </c>
      <c r="K38" s="0" t="n">
        <f aca="false">IF(J38&gt;(I38*2),((ROUNDDOWN(J38/I38,0))-1))</f>
        <v>1</v>
      </c>
    </row>
    <row r="39" customFormat="false" ht="12.75" hidden="false" customHeight="false" outlineLevel="0" collapsed="false">
      <c r="A39" s="5" t="n">
        <v>49</v>
      </c>
      <c r="B39" s="6" t="s">
        <v>865</v>
      </c>
      <c r="C39" s="6" t="s">
        <v>12</v>
      </c>
      <c r="D39" s="6" t="s">
        <v>866</v>
      </c>
      <c r="E39" s="6" t="s">
        <v>14</v>
      </c>
      <c r="F39" s="6" t="n">
        <v>1075.972307415</v>
      </c>
      <c r="G39" s="6" t="n">
        <v>1075.972</v>
      </c>
      <c r="H39" s="6" t="s">
        <v>792</v>
      </c>
      <c r="I39" s="0" t="n">
        <v>0.4</v>
      </c>
      <c r="J39" s="0" t="n">
        <f aca="false">CONVERT(G39,"m^2","ha")</f>
        <v>0.1075972</v>
      </c>
      <c r="K39" s="0" t="b">
        <f aca="false">IF(J39&gt;(I39*2),((ROUNDDOWN(J39/I39,0))-1))</f>
        <v>0</v>
      </c>
    </row>
    <row r="40" customFormat="false" ht="12.75" hidden="false" customHeight="false" outlineLevel="0" collapsed="false">
      <c r="A40" s="5" t="n">
        <v>50</v>
      </c>
      <c r="B40" s="6" t="s">
        <v>867</v>
      </c>
      <c r="C40" s="6" t="s">
        <v>12</v>
      </c>
      <c r="D40" s="6" t="s">
        <v>868</v>
      </c>
      <c r="E40" s="6" t="s">
        <v>14</v>
      </c>
      <c r="F40" s="6" t="n">
        <v>1622.912194885</v>
      </c>
      <c r="G40" s="6" t="n">
        <v>1622.912</v>
      </c>
      <c r="H40" s="6" t="s">
        <v>792</v>
      </c>
      <c r="I40" s="0" t="n">
        <v>0.4</v>
      </c>
      <c r="J40" s="0" t="n">
        <f aca="false">CONVERT(G40,"m^2","ha")</f>
        <v>0.1622912</v>
      </c>
      <c r="K40" s="0" t="b">
        <f aca="false">IF(J40&gt;(I40*2),((ROUNDDOWN(J40/I40,0))-1))</f>
        <v>0</v>
      </c>
    </row>
    <row r="41" customFormat="false" ht="12.75" hidden="false" customHeight="false" outlineLevel="0" collapsed="false">
      <c r="A41" s="5" t="n">
        <v>52</v>
      </c>
      <c r="B41" s="6" t="s">
        <v>869</v>
      </c>
      <c r="C41" s="6" t="s">
        <v>12</v>
      </c>
      <c r="D41" s="6" t="s">
        <v>870</v>
      </c>
      <c r="E41" s="6" t="s">
        <v>14</v>
      </c>
      <c r="F41" s="6" t="n">
        <v>1036.0195517</v>
      </c>
      <c r="G41" s="6" t="n">
        <v>1036.02</v>
      </c>
      <c r="H41" s="6" t="s">
        <v>792</v>
      </c>
      <c r="I41" s="0" t="n">
        <v>0.4</v>
      </c>
      <c r="J41" s="0" t="n">
        <f aca="false">CONVERT(G41,"m^2","ha")</f>
        <v>0.103602</v>
      </c>
      <c r="K41" s="0" t="b">
        <f aca="false">IF(J41&gt;(I41*2),((ROUNDDOWN(J41/I41,0))-1))</f>
        <v>0</v>
      </c>
    </row>
    <row r="42" customFormat="false" ht="12.75" hidden="false" customHeight="false" outlineLevel="0" collapsed="false">
      <c r="A42" s="5" t="n">
        <v>53</v>
      </c>
      <c r="B42" s="6" t="s">
        <v>871</v>
      </c>
      <c r="C42" s="6" t="s">
        <v>89</v>
      </c>
      <c r="D42" s="6" t="s">
        <v>872</v>
      </c>
      <c r="E42" s="6" t="s">
        <v>14</v>
      </c>
      <c r="F42" s="6" t="n">
        <v>2403.70047522</v>
      </c>
      <c r="G42" s="6" t="n">
        <v>2403.7</v>
      </c>
      <c r="H42" s="6" t="s">
        <v>792</v>
      </c>
      <c r="I42" s="0" t="n">
        <v>0.4</v>
      </c>
      <c r="J42" s="0" t="n">
        <f aca="false">CONVERT(G42,"m^2","ha")</f>
        <v>0.24037</v>
      </c>
      <c r="K42" s="0" t="b">
        <f aca="false">IF(J42&gt;(I42*2),((ROUNDDOWN(J42/I42,0))-1))</f>
        <v>0</v>
      </c>
    </row>
    <row r="43" customFormat="false" ht="12.75" hidden="false" customHeight="false" outlineLevel="0" collapsed="false">
      <c r="A43" s="5" t="n">
        <v>54</v>
      </c>
      <c r="B43" s="6" t="s">
        <v>873</v>
      </c>
      <c r="C43" s="6" t="s">
        <v>12</v>
      </c>
      <c r="D43" s="6" t="s">
        <v>874</v>
      </c>
      <c r="E43" s="6" t="s">
        <v>14</v>
      </c>
      <c r="F43" s="6" t="n">
        <v>1200.93311119</v>
      </c>
      <c r="G43" s="6" t="n">
        <v>1200.933</v>
      </c>
      <c r="H43" s="6" t="s">
        <v>792</v>
      </c>
      <c r="I43" s="0" t="n">
        <v>0.4</v>
      </c>
      <c r="J43" s="0" t="n">
        <f aca="false">CONVERT(G43,"m^2","ha")</f>
        <v>0.1200933</v>
      </c>
      <c r="K43" s="0" t="b">
        <f aca="false">IF(J43&gt;(I43*2),((ROUNDDOWN(J43/I43,0))-1))</f>
        <v>0</v>
      </c>
    </row>
    <row r="44" customFormat="false" ht="12.75" hidden="false" customHeight="false" outlineLevel="0" collapsed="false">
      <c r="A44" s="5" t="n">
        <v>55</v>
      </c>
      <c r="B44" s="6" t="s">
        <v>875</v>
      </c>
      <c r="C44" s="6" t="s">
        <v>12</v>
      </c>
      <c r="D44" s="6" t="s">
        <v>876</v>
      </c>
      <c r="E44" s="6" t="s">
        <v>14</v>
      </c>
      <c r="F44" s="6" t="n">
        <v>1200.69782643</v>
      </c>
      <c r="G44" s="6" t="n">
        <v>1200.698</v>
      </c>
      <c r="H44" s="6" t="s">
        <v>792</v>
      </c>
      <c r="I44" s="0" t="n">
        <v>0.4</v>
      </c>
      <c r="J44" s="0" t="n">
        <f aca="false">CONVERT(G44,"m^2","ha")</f>
        <v>0.1200698</v>
      </c>
      <c r="K44" s="0" t="b">
        <f aca="false">IF(J44&gt;(I44*2),((ROUNDDOWN(J44/I44,0))-1))</f>
        <v>0</v>
      </c>
    </row>
    <row r="45" customFormat="false" ht="12.75" hidden="false" customHeight="false" outlineLevel="0" collapsed="false">
      <c r="A45" s="5" t="n">
        <v>56</v>
      </c>
      <c r="B45" s="6" t="s">
        <v>877</v>
      </c>
      <c r="C45" s="6" t="s">
        <v>12</v>
      </c>
      <c r="D45" s="6" t="s">
        <v>878</v>
      </c>
      <c r="E45" s="6" t="s">
        <v>14</v>
      </c>
      <c r="F45" s="6" t="n">
        <v>877.541833505</v>
      </c>
      <c r="G45" s="6" t="n">
        <v>877.542</v>
      </c>
      <c r="H45" s="6" t="s">
        <v>792</v>
      </c>
      <c r="I45" s="0" t="n">
        <v>0.4</v>
      </c>
      <c r="J45" s="0" t="n">
        <f aca="false">CONVERT(G45,"m^2","ha")</f>
        <v>0.0877542</v>
      </c>
      <c r="K45" s="0" t="b">
        <f aca="false">IF(J45&gt;(I45*2),((ROUNDDOWN(J45/I45,0))-1))</f>
        <v>0</v>
      </c>
    </row>
    <row r="46" customFormat="false" ht="12.75" hidden="false" customHeight="false" outlineLevel="0" collapsed="false">
      <c r="A46" s="5" t="n">
        <v>58</v>
      </c>
      <c r="B46" s="6" t="s">
        <v>879</v>
      </c>
      <c r="C46" s="6" t="s">
        <v>12</v>
      </c>
      <c r="D46" s="6" t="s">
        <v>880</v>
      </c>
      <c r="E46" s="6" t="s">
        <v>14</v>
      </c>
      <c r="F46" s="6" t="n">
        <v>1045.339994055</v>
      </c>
      <c r="G46" s="6" t="n">
        <v>1045.34</v>
      </c>
      <c r="H46" s="6" t="s">
        <v>792</v>
      </c>
      <c r="I46" s="0" t="n">
        <v>0.4</v>
      </c>
      <c r="J46" s="0" t="n">
        <f aca="false">CONVERT(G46,"m^2","ha")</f>
        <v>0.104534</v>
      </c>
      <c r="K46" s="0" t="b">
        <f aca="false">IF(J46&gt;(I46*2),((ROUNDDOWN(J46/I46,0))-1))</f>
        <v>0</v>
      </c>
    </row>
    <row r="47" customFormat="false" ht="12.75" hidden="false" customHeight="false" outlineLevel="0" collapsed="false">
      <c r="A47" s="5" t="n">
        <v>59</v>
      </c>
      <c r="B47" s="6" t="s">
        <v>881</v>
      </c>
      <c r="C47" s="6" t="s">
        <v>89</v>
      </c>
      <c r="D47" s="6" t="s">
        <v>882</v>
      </c>
      <c r="E47" s="6" t="s">
        <v>14</v>
      </c>
      <c r="F47" s="6" t="n">
        <v>1243.36423439</v>
      </c>
      <c r="G47" s="6" t="n">
        <v>1243.364</v>
      </c>
      <c r="H47" s="6" t="s">
        <v>792</v>
      </c>
      <c r="I47" s="0" t="n">
        <v>0.4</v>
      </c>
      <c r="J47" s="0" t="n">
        <f aca="false">CONVERT(G47,"m^2","ha")</f>
        <v>0.1243364</v>
      </c>
      <c r="K47" s="0" t="b">
        <f aca="false">IF(J47&gt;(I47*2),((ROUNDDOWN(J47/I47,0))-1))</f>
        <v>0</v>
      </c>
    </row>
    <row r="48" customFormat="false" ht="12.75" hidden="false" customHeight="false" outlineLevel="0" collapsed="false">
      <c r="A48" s="5" t="n">
        <v>60</v>
      </c>
      <c r="B48" s="6" t="s">
        <v>883</v>
      </c>
      <c r="C48" s="6" t="s">
        <v>12</v>
      </c>
      <c r="D48" s="6" t="s">
        <v>884</v>
      </c>
      <c r="E48" s="6" t="s">
        <v>14</v>
      </c>
      <c r="F48" s="6" t="n">
        <v>5718.963297475</v>
      </c>
      <c r="G48" s="6" t="n">
        <v>5718.963</v>
      </c>
      <c r="H48" s="6" t="s">
        <v>792</v>
      </c>
      <c r="I48" s="0" t="n">
        <v>0.4</v>
      </c>
      <c r="J48" s="0" t="n">
        <f aca="false">CONVERT(G48,"m^2","ha")</f>
        <v>0.5718963</v>
      </c>
      <c r="K48" s="0" t="b">
        <f aca="false">IF(J48&gt;(I48*2),((ROUNDDOWN(J48/I48,0))-1))</f>
        <v>0</v>
      </c>
    </row>
    <row r="49" customFormat="false" ht="12.75" hidden="false" customHeight="false" outlineLevel="0" collapsed="false">
      <c r="A49" s="5" t="n">
        <v>62</v>
      </c>
      <c r="B49" s="6" t="s">
        <v>885</v>
      </c>
      <c r="C49" s="6" t="s">
        <v>89</v>
      </c>
      <c r="D49" s="6" t="s">
        <v>886</v>
      </c>
      <c r="E49" s="6" t="s">
        <v>14</v>
      </c>
      <c r="F49" s="6" t="n">
        <v>3274.017676435</v>
      </c>
      <c r="G49" s="6" t="n">
        <v>3274.018</v>
      </c>
      <c r="H49" s="6" t="s">
        <v>792</v>
      </c>
      <c r="I49" s="0" t="n">
        <v>0.4</v>
      </c>
      <c r="J49" s="0" t="n">
        <f aca="false">CONVERT(G49,"m^2","ha")</f>
        <v>0.3274018</v>
      </c>
      <c r="K49" s="0" t="b">
        <f aca="false">IF(J49&gt;(I49*2),((ROUNDDOWN(J49/I49,0))-1))</f>
        <v>0</v>
      </c>
    </row>
    <row r="50" customFormat="false" ht="12.75" hidden="false" customHeight="false" outlineLevel="0" collapsed="false">
      <c r="A50" s="5" t="n">
        <v>63</v>
      </c>
      <c r="B50" s="6" t="s">
        <v>887</v>
      </c>
      <c r="C50" s="6" t="s">
        <v>12</v>
      </c>
      <c r="D50" s="6" t="s">
        <v>888</v>
      </c>
      <c r="E50" s="6" t="s">
        <v>14</v>
      </c>
      <c r="F50" s="6" t="n">
        <v>4029.374104065</v>
      </c>
      <c r="G50" s="6" t="n">
        <v>4029.374</v>
      </c>
      <c r="H50" s="6" t="s">
        <v>792</v>
      </c>
      <c r="I50" s="0" t="n">
        <v>0.4</v>
      </c>
      <c r="J50" s="0" t="n">
        <f aca="false">CONVERT(G50,"m^2","ha")</f>
        <v>0.4029374</v>
      </c>
      <c r="K50" s="0" t="b">
        <f aca="false">IF(J50&gt;(I50*2),((ROUNDDOWN(J50/I50,0))-1))</f>
        <v>0</v>
      </c>
    </row>
    <row r="51" customFormat="false" ht="12.75" hidden="false" customHeight="false" outlineLevel="0" collapsed="false">
      <c r="A51" s="5" t="n">
        <v>64</v>
      </c>
      <c r="B51" s="6" t="s">
        <v>889</v>
      </c>
      <c r="C51" s="6" t="s">
        <v>89</v>
      </c>
      <c r="D51" s="6" t="s">
        <v>890</v>
      </c>
      <c r="E51" s="6" t="s">
        <v>14</v>
      </c>
      <c r="F51" s="6" t="n">
        <v>1110.689025115</v>
      </c>
      <c r="G51" s="6" t="n">
        <v>1110.689</v>
      </c>
      <c r="H51" s="6" t="s">
        <v>792</v>
      </c>
      <c r="I51" s="0" t="n">
        <v>0.4</v>
      </c>
      <c r="J51" s="0" t="n">
        <f aca="false">CONVERT(G51,"m^2","ha")</f>
        <v>0.1110689</v>
      </c>
      <c r="K51" s="0" t="b">
        <f aca="false">IF(J51&gt;(I51*2),((ROUNDDOWN(J51/I51,0))-1))</f>
        <v>0</v>
      </c>
    </row>
    <row r="52" customFormat="false" ht="12.75" hidden="false" customHeight="false" outlineLevel="0" collapsed="false">
      <c r="A52" s="5" t="n">
        <v>65</v>
      </c>
      <c r="B52" s="6" t="s">
        <v>891</v>
      </c>
      <c r="C52" s="6" t="s">
        <v>12</v>
      </c>
      <c r="D52" s="6" t="s">
        <v>892</v>
      </c>
      <c r="E52" s="6" t="s">
        <v>14</v>
      </c>
      <c r="F52" s="6" t="n">
        <v>4791.45899763</v>
      </c>
      <c r="G52" s="6" t="n">
        <v>4791.459</v>
      </c>
      <c r="H52" s="6" t="s">
        <v>792</v>
      </c>
      <c r="I52" s="0" t="n">
        <v>0.4</v>
      </c>
      <c r="J52" s="0" t="n">
        <f aca="false">CONVERT(G52,"m^2","ha")</f>
        <v>0.4791459</v>
      </c>
      <c r="K52" s="0" t="b">
        <f aca="false">IF(J52&gt;(I52*2),((ROUNDDOWN(J52/I52,0))-1))</f>
        <v>0</v>
      </c>
    </row>
    <row r="53" customFormat="false" ht="12.75" hidden="false" customHeight="false" outlineLevel="0" collapsed="false">
      <c r="A53" s="5" t="n">
        <v>66</v>
      </c>
      <c r="B53" s="6" t="s">
        <v>893</v>
      </c>
      <c r="C53" s="6" t="s">
        <v>89</v>
      </c>
      <c r="D53" s="6" t="s">
        <v>894</v>
      </c>
      <c r="E53" s="6" t="s">
        <v>14</v>
      </c>
      <c r="F53" s="6" t="n">
        <v>4589.42450677</v>
      </c>
      <c r="G53" s="6" t="n">
        <v>4588.894</v>
      </c>
      <c r="H53" s="6" t="s">
        <v>792</v>
      </c>
      <c r="I53" s="0" t="n">
        <v>0.4</v>
      </c>
      <c r="J53" s="0" t="n">
        <f aca="false">CONVERT(G53,"m^2","ha")</f>
        <v>0.4588894</v>
      </c>
      <c r="K53" s="0" t="b">
        <f aca="false">IF(J53&gt;(I53*2),((ROUNDDOWN(J53/I53,0))-1))</f>
        <v>0</v>
      </c>
    </row>
    <row r="54" customFormat="false" ht="12.75" hidden="false" customHeight="false" outlineLevel="0" collapsed="false">
      <c r="A54" s="5" t="n">
        <v>67</v>
      </c>
      <c r="B54" s="6" t="s">
        <v>895</v>
      </c>
      <c r="C54" s="6" t="s">
        <v>89</v>
      </c>
      <c r="D54" s="6" t="s">
        <v>896</v>
      </c>
      <c r="E54" s="6" t="s">
        <v>14</v>
      </c>
      <c r="F54" s="6" t="n">
        <v>1438.57253059</v>
      </c>
      <c r="G54" s="6" t="n">
        <v>1438.205</v>
      </c>
      <c r="H54" s="6" t="s">
        <v>792</v>
      </c>
      <c r="I54" s="0" t="n">
        <v>0.4</v>
      </c>
      <c r="J54" s="0" t="n">
        <f aca="false">CONVERT(G54,"m^2","ha")</f>
        <v>0.1438205</v>
      </c>
      <c r="K54" s="0" t="b">
        <f aca="false">IF(J54&gt;(I54*2),((ROUNDDOWN(J54/I54,0))-1))</f>
        <v>0</v>
      </c>
    </row>
    <row r="55" customFormat="false" ht="12.75" hidden="false" customHeight="false" outlineLevel="0" collapsed="false">
      <c r="A55" s="5" t="n">
        <v>68</v>
      </c>
      <c r="B55" s="6" t="s">
        <v>897</v>
      </c>
      <c r="C55" s="6" t="s">
        <v>12</v>
      </c>
      <c r="D55" s="6" t="s">
        <v>898</v>
      </c>
      <c r="E55" s="6" t="s">
        <v>14</v>
      </c>
      <c r="F55" s="6" t="n">
        <v>1905.628779535</v>
      </c>
      <c r="G55" s="6" t="n">
        <v>1905.629</v>
      </c>
      <c r="H55" s="6" t="s">
        <v>792</v>
      </c>
      <c r="I55" s="0" t="n">
        <v>0.4</v>
      </c>
      <c r="J55" s="0" t="n">
        <f aca="false">CONVERT(G55,"m^2","ha")</f>
        <v>0.1905629</v>
      </c>
      <c r="K55" s="0" t="b">
        <f aca="false">IF(J55&gt;(I55*2),((ROUNDDOWN(J55/I55,0))-1))</f>
        <v>0</v>
      </c>
    </row>
    <row r="56" customFormat="false" ht="12.75" hidden="false" customHeight="false" outlineLevel="0" collapsed="false">
      <c r="A56" s="5" t="n">
        <v>69</v>
      </c>
      <c r="B56" s="6" t="s">
        <v>899</v>
      </c>
      <c r="C56" s="6" t="s">
        <v>12</v>
      </c>
      <c r="D56" s="6" t="s">
        <v>900</v>
      </c>
      <c r="E56" s="6" t="s">
        <v>14</v>
      </c>
      <c r="F56" s="6" t="n">
        <v>1133.523791805</v>
      </c>
      <c r="G56" s="6" t="n">
        <v>1133.524</v>
      </c>
      <c r="H56" s="6" t="s">
        <v>792</v>
      </c>
      <c r="I56" s="0" t="n">
        <v>0.4</v>
      </c>
      <c r="J56" s="0" t="n">
        <f aca="false">CONVERT(G56,"m^2","ha")</f>
        <v>0.1133524</v>
      </c>
      <c r="K56" s="0" t="b">
        <f aca="false">IF(J56&gt;(I56*2),((ROUNDDOWN(J56/I56,0))-1))</f>
        <v>0</v>
      </c>
    </row>
    <row r="57" customFormat="false" ht="12.75" hidden="false" customHeight="false" outlineLevel="0" collapsed="false">
      <c r="A57" s="5" t="n">
        <v>71</v>
      </c>
      <c r="B57" s="6" t="s">
        <v>901</v>
      </c>
      <c r="C57" s="6" t="s">
        <v>12</v>
      </c>
      <c r="D57" s="6" t="s">
        <v>902</v>
      </c>
      <c r="E57" s="6" t="s">
        <v>14</v>
      </c>
      <c r="F57" s="6" t="n">
        <v>2086.363094475</v>
      </c>
      <c r="G57" s="6" t="n">
        <v>2086.363</v>
      </c>
      <c r="H57" s="6" t="s">
        <v>792</v>
      </c>
      <c r="I57" s="0" t="n">
        <v>0.4</v>
      </c>
      <c r="J57" s="0" t="n">
        <f aca="false">CONVERT(G57,"m^2","ha")</f>
        <v>0.2086363</v>
      </c>
      <c r="K57" s="0" t="b">
        <f aca="false">IF(J57&gt;(I57*2),((ROUNDDOWN(J57/I57,0))-1))</f>
        <v>0</v>
      </c>
    </row>
    <row r="58" customFormat="false" ht="12.75" hidden="false" customHeight="false" outlineLevel="0" collapsed="false">
      <c r="A58" s="5" t="n">
        <v>72</v>
      </c>
      <c r="B58" s="6" t="s">
        <v>903</v>
      </c>
      <c r="C58" s="6" t="s">
        <v>89</v>
      </c>
      <c r="D58" s="6" t="s">
        <v>904</v>
      </c>
      <c r="E58" s="6" t="s">
        <v>14</v>
      </c>
      <c r="F58" s="6" t="n">
        <v>3684.858774235</v>
      </c>
      <c r="G58" s="6" t="n">
        <v>3683.809</v>
      </c>
      <c r="H58" s="6" t="s">
        <v>792</v>
      </c>
      <c r="I58" s="0" t="n">
        <v>0.4</v>
      </c>
      <c r="J58" s="0" t="n">
        <f aca="false">CONVERT(G58,"m^2","ha")</f>
        <v>0.3683809</v>
      </c>
      <c r="K58" s="0" t="b">
        <f aca="false">IF(J58&gt;(I58*2),((ROUNDDOWN(J58/I58,0))-1))</f>
        <v>0</v>
      </c>
    </row>
    <row r="59" customFormat="false" ht="12.75" hidden="false" customHeight="false" outlineLevel="0" collapsed="false">
      <c r="A59" s="5" t="n">
        <v>73</v>
      </c>
      <c r="B59" s="6" t="s">
        <v>905</v>
      </c>
      <c r="C59" s="6" t="s">
        <v>12</v>
      </c>
      <c r="D59" s="6" t="s">
        <v>906</v>
      </c>
      <c r="E59" s="6" t="s">
        <v>14</v>
      </c>
      <c r="F59" s="6" t="n">
        <v>4257.255598205</v>
      </c>
      <c r="G59" s="6" t="n">
        <v>4257.256</v>
      </c>
      <c r="H59" s="6" t="s">
        <v>792</v>
      </c>
      <c r="I59" s="0" t="n">
        <v>0.4</v>
      </c>
      <c r="J59" s="0" t="n">
        <f aca="false">CONVERT(G59,"m^2","ha")</f>
        <v>0.4257256</v>
      </c>
      <c r="K59" s="0" t="b">
        <f aca="false">IF(J59&gt;(I59*2),((ROUNDDOWN(J59/I59,0))-1))</f>
        <v>0</v>
      </c>
    </row>
    <row r="60" customFormat="false" ht="12.75" hidden="false" customHeight="false" outlineLevel="0" collapsed="false">
      <c r="A60" s="5" t="n">
        <v>74</v>
      </c>
      <c r="B60" s="6" t="s">
        <v>907</v>
      </c>
      <c r="C60" s="6" t="s">
        <v>89</v>
      </c>
      <c r="D60" s="6" t="s">
        <v>908</v>
      </c>
      <c r="E60" s="6" t="s">
        <v>14</v>
      </c>
      <c r="F60" s="6" t="n">
        <v>3083.88930277</v>
      </c>
      <c r="G60" s="6" t="n">
        <v>3083.889</v>
      </c>
      <c r="H60" s="6" t="s">
        <v>792</v>
      </c>
      <c r="I60" s="0" t="n">
        <v>0.4</v>
      </c>
      <c r="J60" s="0" t="n">
        <f aca="false">CONVERT(G60,"m^2","ha")</f>
        <v>0.3083889</v>
      </c>
      <c r="K60" s="0" t="b">
        <f aca="false">IF(J60&gt;(I60*2),((ROUNDDOWN(J60/I60,0))-1))</f>
        <v>0</v>
      </c>
    </row>
    <row r="61" customFormat="false" ht="12.75" hidden="false" customHeight="false" outlineLevel="0" collapsed="false">
      <c r="A61" s="5" t="n">
        <v>75</v>
      </c>
      <c r="B61" s="6" t="s">
        <v>909</v>
      </c>
      <c r="C61" s="6" t="s">
        <v>12</v>
      </c>
      <c r="D61" s="6" t="s">
        <v>910</v>
      </c>
      <c r="E61" s="6" t="s">
        <v>14</v>
      </c>
      <c r="F61" s="6" t="n">
        <v>2506.64275166</v>
      </c>
      <c r="G61" s="6" t="n">
        <v>2506.643</v>
      </c>
      <c r="H61" s="6" t="s">
        <v>792</v>
      </c>
      <c r="I61" s="0" t="n">
        <v>0.4</v>
      </c>
      <c r="J61" s="0" t="n">
        <f aca="false">CONVERT(G61,"m^2","ha")</f>
        <v>0.2506643</v>
      </c>
      <c r="K61" s="0" t="b">
        <f aca="false">IF(J61&gt;(I61*2),((ROUNDDOWN(J61/I61,0))-1))</f>
        <v>0</v>
      </c>
    </row>
    <row r="62" customFormat="false" ht="12.75" hidden="false" customHeight="false" outlineLevel="0" collapsed="false">
      <c r="A62" s="5" t="n">
        <v>78</v>
      </c>
      <c r="B62" s="6" t="s">
        <v>911</v>
      </c>
      <c r="C62" s="6" t="s">
        <v>89</v>
      </c>
      <c r="D62" s="6" t="s">
        <v>912</v>
      </c>
      <c r="E62" s="6" t="s">
        <v>14</v>
      </c>
      <c r="F62" s="6" t="n">
        <v>3515.70748473</v>
      </c>
      <c r="G62" s="6" t="n">
        <v>3515.442</v>
      </c>
      <c r="H62" s="6" t="s">
        <v>792</v>
      </c>
      <c r="I62" s="0" t="n">
        <v>0.4</v>
      </c>
      <c r="J62" s="0" t="n">
        <f aca="false">CONVERT(G62,"m^2","ha")</f>
        <v>0.3515442</v>
      </c>
      <c r="K62" s="0" t="b">
        <f aca="false">IF(J62&gt;(I62*2),((ROUNDDOWN(J62/I62,0))-1))</f>
        <v>0</v>
      </c>
    </row>
    <row r="63" customFormat="false" ht="12.75" hidden="false" customHeight="false" outlineLevel="0" collapsed="false">
      <c r="A63" s="5" t="n">
        <v>80</v>
      </c>
      <c r="B63" s="6" t="s">
        <v>913</v>
      </c>
      <c r="C63" s="6" t="s">
        <v>12</v>
      </c>
      <c r="D63" s="6" t="s">
        <v>914</v>
      </c>
      <c r="E63" s="6" t="s">
        <v>14</v>
      </c>
      <c r="F63" s="6" t="n">
        <v>1642.795091195</v>
      </c>
      <c r="G63" s="6" t="n">
        <v>1642.795</v>
      </c>
      <c r="H63" s="6" t="s">
        <v>792</v>
      </c>
      <c r="I63" s="0" t="n">
        <v>0.4</v>
      </c>
      <c r="J63" s="0" t="n">
        <f aca="false">CONVERT(G63,"m^2","ha")</f>
        <v>0.1642795</v>
      </c>
      <c r="K63" s="0" t="b">
        <f aca="false">IF(J63&gt;(I63*2),((ROUNDDOWN(J63/I63,0))-1))</f>
        <v>0</v>
      </c>
    </row>
    <row r="64" customFormat="false" ht="12.75" hidden="false" customHeight="false" outlineLevel="0" collapsed="false">
      <c r="A64" s="5" t="n">
        <v>81</v>
      </c>
      <c r="B64" s="6" t="s">
        <v>915</v>
      </c>
      <c r="C64" s="6" t="s">
        <v>12</v>
      </c>
      <c r="D64" s="6" t="s">
        <v>916</v>
      </c>
      <c r="E64" s="6" t="s">
        <v>14</v>
      </c>
      <c r="F64" s="6" t="n">
        <v>1842.437783505</v>
      </c>
      <c r="G64" s="6" t="n">
        <v>1842.438</v>
      </c>
      <c r="H64" s="6" t="s">
        <v>792</v>
      </c>
      <c r="I64" s="0" t="n">
        <v>0.4</v>
      </c>
      <c r="J64" s="0" t="n">
        <f aca="false">CONVERT(G64,"m^2","ha")</f>
        <v>0.1842438</v>
      </c>
      <c r="K64" s="0" t="b">
        <f aca="false">IF(J64&gt;(I64*2),((ROUNDDOWN(J64/I64,0))-1))</f>
        <v>0</v>
      </c>
    </row>
    <row r="65" customFormat="false" ht="12.75" hidden="false" customHeight="false" outlineLevel="0" collapsed="false">
      <c r="A65" s="5" t="n">
        <v>82</v>
      </c>
      <c r="B65" s="6" t="s">
        <v>917</v>
      </c>
      <c r="C65" s="6" t="s">
        <v>12</v>
      </c>
      <c r="D65" s="6" t="s">
        <v>918</v>
      </c>
      <c r="E65" s="6" t="s">
        <v>14</v>
      </c>
      <c r="F65" s="6" t="n">
        <v>5161.960658105</v>
      </c>
      <c r="G65" s="6" t="n">
        <v>5161.961</v>
      </c>
      <c r="H65" s="6" t="s">
        <v>792</v>
      </c>
      <c r="I65" s="0" t="n">
        <v>0.4</v>
      </c>
      <c r="J65" s="0" t="n">
        <f aca="false">CONVERT(G65,"m^2","ha")</f>
        <v>0.5161961</v>
      </c>
      <c r="K65" s="0" t="b">
        <f aca="false">IF(J65&gt;(I65*2),((ROUNDDOWN(J65/I65,0))-1))</f>
        <v>0</v>
      </c>
    </row>
    <row r="66" customFormat="false" ht="12.75" hidden="false" customHeight="false" outlineLevel="0" collapsed="false">
      <c r="A66" s="5" t="n">
        <v>83</v>
      </c>
      <c r="B66" s="6" t="s">
        <v>919</v>
      </c>
      <c r="C66" s="6" t="s">
        <v>12</v>
      </c>
      <c r="D66" s="6" t="s">
        <v>920</v>
      </c>
      <c r="E66" s="6" t="s">
        <v>14</v>
      </c>
      <c r="F66" s="6" t="n">
        <v>1407.67649748</v>
      </c>
      <c r="G66" s="6" t="n">
        <v>1407.676</v>
      </c>
      <c r="H66" s="6" t="s">
        <v>792</v>
      </c>
      <c r="I66" s="0" t="n">
        <v>0.4</v>
      </c>
      <c r="J66" s="0" t="n">
        <f aca="false">CONVERT(G66,"m^2","ha")</f>
        <v>0.1407676</v>
      </c>
      <c r="K66" s="0" t="b">
        <f aca="false">IF(J66&gt;(I66*2),((ROUNDDOWN(J66/I66,0))-1))</f>
        <v>0</v>
      </c>
    </row>
    <row r="67" customFormat="false" ht="12.75" hidden="false" customHeight="false" outlineLevel="0" collapsed="false">
      <c r="A67" s="5" t="n">
        <v>84</v>
      </c>
      <c r="B67" s="6" t="s">
        <v>921</v>
      </c>
      <c r="C67" s="6" t="s">
        <v>12</v>
      </c>
      <c r="D67" s="6" t="s">
        <v>922</v>
      </c>
      <c r="E67" s="6" t="s">
        <v>14</v>
      </c>
      <c r="F67" s="6" t="n">
        <v>2119.284470065</v>
      </c>
      <c r="G67" s="6" t="n">
        <v>2119.284</v>
      </c>
      <c r="H67" s="6" t="s">
        <v>792</v>
      </c>
      <c r="I67" s="0" t="n">
        <v>0.4</v>
      </c>
      <c r="J67" s="0" t="n">
        <f aca="false">CONVERT(G67,"m^2","ha")</f>
        <v>0.2119284</v>
      </c>
      <c r="K67" s="0" t="b">
        <f aca="false">IF(J67&gt;(I67*2),((ROUNDDOWN(J67/I67,0))-1))</f>
        <v>0</v>
      </c>
    </row>
    <row r="68" customFormat="false" ht="12.75" hidden="false" customHeight="false" outlineLevel="0" collapsed="false">
      <c r="A68" s="5" t="n">
        <v>85</v>
      </c>
      <c r="B68" s="6" t="s">
        <v>923</v>
      </c>
      <c r="C68" s="6" t="s">
        <v>12</v>
      </c>
      <c r="D68" s="6" t="s">
        <v>924</v>
      </c>
      <c r="E68" s="6" t="s">
        <v>14</v>
      </c>
      <c r="F68" s="6" t="n">
        <v>1603.80061067</v>
      </c>
      <c r="G68" s="6" t="n">
        <v>1603.801</v>
      </c>
      <c r="H68" s="6" t="s">
        <v>792</v>
      </c>
      <c r="I68" s="0" t="n">
        <v>0.4</v>
      </c>
      <c r="J68" s="0" t="n">
        <f aca="false">CONVERT(G68,"m^2","ha")</f>
        <v>0.1603801</v>
      </c>
      <c r="K68" s="0" t="b">
        <f aca="false">IF(J68&gt;(I68*2),((ROUNDDOWN(J68/I68,0))-1))</f>
        <v>0</v>
      </c>
    </row>
    <row r="69" customFormat="false" ht="12.75" hidden="false" customHeight="false" outlineLevel="0" collapsed="false">
      <c r="A69" s="5" t="n">
        <v>86</v>
      </c>
      <c r="B69" s="6" t="s">
        <v>925</v>
      </c>
      <c r="C69" s="6" t="s">
        <v>89</v>
      </c>
      <c r="D69" s="6" t="s">
        <v>926</v>
      </c>
      <c r="E69" s="6" t="s">
        <v>14</v>
      </c>
      <c r="F69" s="6" t="n">
        <v>2443.113390095</v>
      </c>
      <c r="G69" s="6" t="n">
        <v>2443.113</v>
      </c>
      <c r="H69" s="6" t="s">
        <v>792</v>
      </c>
      <c r="I69" s="0" t="n">
        <v>0.4</v>
      </c>
      <c r="J69" s="0" t="n">
        <f aca="false">CONVERT(G69,"m^2","ha")</f>
        <v>0.2443113</v>
      </c>
      <c r="K69" s="0" t="b">
        <f aca="false">IF(J69&gt;(I69*2),((ROUNDDOWN(J69/I69,0))-1))</f>
        <v>0</v>
      </c>
    </row>
    <row r="70" customFormat="false" ht="12.75" hidden="false" customHeight="false" outlineLevel="0" collapsed="false">
      <c r="A70" s="5" t="n">
        <v>87</v>
      </c>
      <c r="B70" s="6" t="s">
        <v>927</v>
      </c>
      <c r="C70" s="6" t="s">
        <v>89</v>
      </c>
      <c r="D70" s="6" t="s">
        <v>928</v>
      </c>
      <c r="E70" s="6" t="s">
        <v>14</v>
      </c>
      <c r="F70" s="6" t="n">
        <v>2569.858341895</v>
      </c>
      <c r="G70" s="6" t="n">
        <v>2569.858</v>
      </c>
      <c r="H70" s="6" t="s">
        <v>792</v>
      </c>
      <c r="I70" s="0" t="n">
        <v>0.4</v>
      </c>
      <c r="J70" s="0" t="n">
        <f aca="false">CONVERT(G70,"m^2","ha")</f>
        <v>0.2569858</v>
      </c>
      <c r="K70" s="0" t="b">
        <f aca="false">IF(J70&gt;(I70*2),((ROUNDDOWN(J70/I70,0))-1))</f>
        <v>0</v>
      </c>
    </row>
    <row r="71" customFormat="false" ht="12.75" hidden="false" customHeight="false" outlineLevel="0" collapsed="false">
      <c r="A71" s="5" t="n">
        <v>88</v>
      </c>
      <c r="B71" s="6" t="s">
        <v>929</v>
      </c>
      <c r="C71" s="6" t="s">
        <v>12</v>
      </c>
      <c r="D71" s="6" t="s">
        <v>930</v>
      </c>
      <c r="E71" s="6" t="s">
        <v>14</v>
      </c>
      <c r="F71" s="6" t="n">
        <v>993.66912212</v>
      </c>
      <c r="G71" s="6" t="n">
        <v>993.669</v>
      </c>
      <c r="H71" s="6" t="s">
        <v>792</v>
      </c>
      <c r="I71" s="0" t="n">
        <v>0.4</v>
      </c>
      <c r="J71" s="0" t="n">
        <f aca="false">CONVERT(G71,"m^2","ha")</f>
        <v>0.0993669</v>
      </c>
      <c r="K71" s="0" t="b">
        <f aca="false">IF(J71&gt;(I71*2),((ROUNDDOWN(J71/I71,0))-1))</f>
        <v>0</v>
      </c>
    </row>
    <row r="72" customFormat="false" ht="12.75" hidden="false" customHeight="false" outlineLevel="0" collapsed="false">
      <c r="A72" s="5" t="n">
        <v>89</v>
      </c>
      <c r="B72" s="6" t="s">
        <v>931</v>
      </c>
      <c r="C72" s="6" t="s">
        <v>89</v>
      </c>
      <c r="D72" s="6" t="s">
        <v>932</v>
      </c>
      <c r="E72" s="6" t="s">
        <v>14</v>
      </c>
      <c r="F72" s="6" t="n">
        <v>1476.19073421</v>
      </c>
      <c r="G72" s="6" t="n">
        <v>1476.191</v>
      </c>
      <c r="H72" s="6" t="s">
        <v>792</v>
      </c>
      <c r="I72" s="0" t="n">
        <v>0.4</v>
      </c>
      <c r="J72" s="0" t="n">
        <f aca="false">CONVERT(G72,"m^2","ha")</f>
        <v>0.1476191</v>
      </c>
      <c r="K72" s="0" t="b">
        <f aca="false">IF(J72&gt;(I72*2),((ROUNDDOWN(J72/I72,0))-1))</f>
        <v>0</v>
      </c>
    </row>
    <row r="73" customFormat="false" ht="12.75" hidden="false" customHeight="false" outlineLevel="0" collapsed="false">
      <c r="A73" s="5" t="n">
        <v>90</v>
      </c>
      <c r="B73" s="6" t="s">
        <v>933</v>
      </c>
      <c r="C73" s="6" t="s">
        <v>12</v>
      </c>
      <c r="D73" s="6" t="s">
        <v>934</v>
      </c>
      <c r="E73" s="6" t="s">
        <v>14</v>
      </c>
      <c r="F73" s="6" t="n">
        <v>2177.70297638</v>
      </c>
      <c r="G73" s="6" t="n">
        <v>2177.703</v>
      </c>
      <c r="H73" s="6" t="s">
        <v>792</v>
      </c>
      <c r="I73" s="0" t="n">
        <v>0.4</v>
      </c>
      <c r="J73" s="0" t="n">
        <f aca="false">CONVERT(G73,"m^2","ha")</f>
        <v>0.2177703</v>
      </c>
      <c r="K73" s="0" t="b">
        <f aca="false">IF(J73&gt;(I73*2),((ROUNDDOWN(J73/I73,0))-1))</f>
        <v>0</v>
      </c>
    </row>
    <row r="74" customFormat="false" ht="12.75" hidden="false" customHeight="false" outlineLevel="0" collapsed="false">
      <c r="A74" s="5" t="n">
        <v>91</v>
      </c>
      <c r="B74" s="6" t="s">
        <v>935</v>
      </c>
      <c r="C74" s="6" t="s">
        <v>89</v>
      </c>
      <c r="D74" s="6" t="s">
        <v>936</v>
      </c>
      <c r="E74" s="6" t="s">
        <v>14</v>
      </c>
      <c r="F74" s="6" t="n">
        <v>2842.268676405</v>
      </c>
      <c r="G74" s="6" t="n">
        <v>2842.157</v>
      </c>
      <c r="H74" s="6" t="s">
        <v>792</v>
      </c>
      <c r="I74" s="0" t="n">
        <v>0.4</v>
      </c>
      <c r="J74" s="0" t="n">
        <f aca="false">CONVERT(G74,"m^2","ha")</f>
        <v>0.2842157</v>
      </c>
      <c r="K74" s="0" t="b">
        <f aca="false">IF(J74&gt;(I74*2),((ROUNDDOWN(J74/I74,0))-1))</f>
        <v>0</v>
      </c>
    </row>
    <row r="75" customFormat="false" ht="12.75" hidden="false" customHeight="false" outlineLevel="0" collapsed="false">
      <c r="A75" s="5" t="n">
        <v>92</v>
      </c>
      <c r="B75" s="6" t="s">
        <v>937</v>
      </c>
      <c r="C75" s="6" t="s">
        <v>12</v>
      </c>
      <c r="D75" s="6" t="s">
        <v>938</v>
      </c>
      <c r="E75" s="6" t="s">
        <v>14</v>
      </c>
      <c r="F75" s="6" t="n">
        <v>1222.77927664</v>
      </c>
      <c r="G75" s="6" t="n">
        <v>1222.779</v>
      </c>
      <c r="H75" s="6" t="s">
        <v>792</v>
      </c>
      <c r="I75" s="0" t="n">
        <v>0.4</v>
      </c>
      <c r="J75" s="0" t="n">
        <f aca="false">CONVERT(G75,"m^2","ha")</f>
        <v>0.1222779</v>
      </c>
      <c r="K75" s="0" t="b">
        <f aca="false">IF(J75&gt;(I75*2),((ROUNDDOWN(J75/I75,0))-1))</f>
        <v>0</v>
      </c>
    </row>
    <row r="76" customFormat="false" ht="12.75" hidden="false" customHeight="false" outlineLevel="0" collapsed="false">
      <c r="A76" s="5" t="n">
        <v>93</v>
      </c>
      <c r="B76" s="6" t="s">
        <v>939</v>
      </c>
      <c r="C76" s="6" t="s">
        <v>12</v>
      </c>
      <c r="D76" s="6" t="s">
        <v>940</v>
      </c>
      <c r="E76" s="6" t="s">
        <v>14</v>
      </c>
      <c r="F76" s="6" t="n">
        <v>1016.495096545</v>
      </c>
      <c r="G76" s="6" t="n">
        <v>1016.495</v>
      </c>
      <c r="H76" s="6" t="s">
        <v>792</v>
      </c>
      <c r="I76" s="0" t="n">
        <v>0.4</v>
      </c>
      <c r="J76" s="0" t="n">
        <f aca="false">CONVERT(G76,"m^2","ha")</f>
        <v>0.1016495</v>
      </c>
      <c r="K76" s="0" t="b">
        <f aca="false">IF(J76&gt;(I76*2),((ROUNDDOWN(J76/I76,0))-1))</f>
        <v>0</v>
      </c>
    </row>
    <row r="77" customFormat="false" ht="12.75" hidden="false" customHeight="false" outlineLevel="0" collapsed="false">
      <c r="A77" s="5" t="n">
        <v>94</v>
      </c>
      <c r="B77" s="6" t="s">
        <v>941</v>
      </c>
      <c r="C77" s="6" t="s">
        <v>12</v>
      </c>
      <c r="D77" s="6" t="s">
        <v>942</v>
      </c>
      <c r="E77" s="6" t="s">
        <v>14</v>
      </c>
      <c r="F77" s="6" t="n">
        <v>862.355930235</v>
      </c>
      <c r="G77" s="6" t="n">
        <v>862.356</v>
      </c>
      <c r="H77" s="6" t="s">
        <v>792</v>
      </c>
      <c r="I77" s="0" t="n">
        <v>0.4</v>
      </c>
      <c r="J77" s="0" t="n">
        <f aca="false">CONVERT(G77,"m^2","ha")</f>
        <v>0.0862356</v>
      </c>
      <c r="K77" s="0" t="b">
        <f aca="false">IF(J77&gt;(I77*2),((ROUNDDOWN(J77/I77,0))-1))</f>
        <v>0</v>
      </c>
    </row>
    <row r="78" customFormat="false" ht="12.75" hidden="false" customHeight="false" outlineLevel="0" collapsed="false">
      <c r="A78" s="5" t="n">
        <v>95</v>
      </c>
      <c r="B78" s="6" t="s">
        <v>943</v>
      </c>
      <c r="C78" s="6" t="s">
        <v>12</v>
      </c>
      <c r="D78" s="6" t="s">
        <v>944</v>
      </c>
      <c r="E78" s="6" t="s">
        <v>14</v>
      </c>
      <c r="F78" s="6" t="n">
        <v>11163.42804287</v>
      </c>
      <c r="G78" s="6" t="n">
        <v>11161.493</v>
      </c>
      <c r="H78" s="6" t="s">
        <v>792</v>
      </c>
      <c r="I78" s="0" t="n">
        <v>0.4</v>
      </c>
      <c r="J78" s="0" t="n">
        <f aca="false">CONVERT(G78,"m^2","ha")</f>
        <v>1.1161493</v>
      </c>
      <c r="K78" s="0" t="n">
        <f aca="false">IF(J78&gt;(I78*2),((ROUNDDOWN(J78/I78,0))-1))</f>
        <v>1</v>
      </c>
    </row>
    <row r="79" customFormat="false" ht="12.75" hidden="false" customHeight="false" outlineLevel="0" collapsed="false">
      <c r="A79" s="5" t="n">
        <v>97</v>
      </c>
      <c r="B79" s="6" t="s">
        <v>945</v>
      </c>
      <c r="C79" s="6" t="s">
        <v>12</v>
      </c>
      <c r="D79" s="6" t="s">
        <v>946</v>
      </c>
      <c r="E79" s="6" t="s">
        <v>14</v>
      </c>
      <c r="F79" s="6" t="n">
        <v>1230.14334984</v>
      </c>
      <c r="G79" s="6" t="n">
        <v>1230.143</v>
      </c>
      <c r="H79" s="6" t="s">
        <v>792</v>
      </c>
      <c r="I79" s="0" t="n">
        <v>0.4</v>
      </c>
      <c r="J79" s="0" t="n">
        <f aca="false">CONVERT(G79,"m^2","ha")</f>
        <v>0.1230143</v>
      </c>
      <c r="K79" s="0" t="b">
        <f aca="false">IF(J79&gt;(I79*2),((ROUNDDOWN(J79/I79,0))-1))</f>
        <v>0</v>
      </c>
    </row>
    <row r="80" customFormat="false" ht="12.75" hidden="false" customHeight="false" outlineLevel="0" collapsed="false">
      <c r="A80" s="5" t="n">
        <v>98</v>
      </c>
      <c r="B80" s="6" t="s">
        <v>947</v>
      </c>
      <c r="C80" s="6" t="s">
        <v>12</v>
      </c>
      <c r="D80" s="6" t="s">
        <v>948</v>
      </c>
      <c r="E80" s="6" t="s">
        <v>14</v>
      </c>
      <c r="F80" s="6" t="n">
        <v>1758.453174</v>
      </c>
      <c r="G80" s="6" t="n">
        <v>1758.453</v>
      </c>
      <c r="H80" s="6" t="s">
        <v>792</v>
      </c>
      <c r="I80" s="0" t="n">
        <v>0.4</v>
      </c>
      <c r="J80" s="0" t="n">
        <f aca="false">CONVERT(G80,"m^2","ha")</f>
        <v>0.1758453</v>
      </c>
      <c r="K80" s="0" t="b">
        <f aca="false">IF(J80&gt;(I80*2),((ROUNDDOWN(J80/I80,0))-1))</f>
        <v>0</v>
      </c>
    </row>
    <row r="81" customFormat="false" ht="12.75" hidden="false" customHeight="false" outlineLevel="0" collapsed="false">
      <c r="A81" s="5" t="n">
        <v>99</v>
      </c>
      <c r="B81" s="6" t="s">
        <v>949</v>
      </c>
      <c r="C81" s="6" t="s">
        <v>12</v>
      </c>
      <c r="D81" s="6" t="s">
        <v>950</v>
      </c>
      <c r="E81" s="6" t="s">
        <v>14</v>
      </c>
      <c r="F81" s="6" t="n">
        <v>3082.626347785</v>
      </c>
      <c r="G81" s="6" t="n">
        <v>3082.626</v>
      </c>
      <c r="H81" s="6" t="s">
        <v>792</v>
      </c>
      <c r="I81" s="0" t="n">
        <v>0.4</v>
      </c>
      <c r="J81" s="0" t="n">
        <f aca="false">CONVERT(G81,"m^2","ha")</f>
        <v>0.3082626</v>
      </c>
      <c r="K81" s="0" t="b">
        <f aca="false">IF(J81&gt;(I81*2),((ROUNDDOWN(J81/I81,0))-1))</f>
        <v>0</v>
      </c>
    </row>
    <row r="82" customFormat="false" ht="12.75" hidden="false" customHeight="false" outlineLevel="0" collapsed="false">
      <c r="A82" s="5" t="n">
        <v>100</v>
      </c>
      <c r="B82" s="6" t="s">
        <v>951</v>
      </c>
      <c r="C82" s="6" t="s">
        <v>12</v>
      </c>
      <c r="D82" s="6" t="s">
        <v>952</v>
      </c>
      <c r="E82" s="6" t="s">
        <v>14</v>
      </c>
      <c r="F82" s="6" t="n">
        <v>1620.72645722</v>
      </c>
      <c r="G82" s="6" t="n">
        <v>1620.726</v>
      </c>
      <c r="H82" s="6" t="s">
        <v>792</v>
      </c>
      <c r="I82" s="0" t="n">
        <v>0.4</v>
      </c>
      <c r="J82" s="0" t="n">
        <f aca="false">CONVERT(G82,"m^2","ha")</f>
        <v>0.1620726</v>
      </c>
      <c r="K82" s="0" t="b">
        <f aca="false">IF(J82&gt;(I82*2),((ROUNDDOWN(J82/I82,0))-1))</f>
        <v>0</v>
      </c>
    </row>
    <row r="83" customFormat="false" ht="12.75" hidden="false" customHeight="false" outlineLevel="0" collapsed="false">
      <c r="A83" s="5" t="n">
        <v>101</v>
      </c>
      <c r="B83" s="6" t="s">
        <v>953</v>
      </c>
      <c r="C83" s="6" t="s">
        <v>89</v>
      </c>
      <c r="D83" s="6" t="s">
        <v>954</v>
      </c>
      <c r="E83" s="6" t="s">
        <v>14</v>
      </c>
      <c r="F83" s="6" t="n">
        <v>1946.431812305</v>
      </c>
      <c r="G83" s="6" t="n">
        <v>1946.432</v>
      </c>
      <c r="H83" s="6" t="s">
        <v>792</v>
      </c>
      <c r="I83" s="0" t="n">
        <v>0.4</v>
      </c>
      <c r="J83" s="0" t="n">
        <f aca="false">CONVERT(G83,"m^2","ha")</f>
        <v>0.1946432</v>
      </c>
      <c r="K83" s="0" t="b">
        <f aca="false">IF(J83&gt;(I83*2),((ROUNDDOWN(J83/I83,0))-1))</f>
        <v>0</v>
      </c>
    </row>
    <row r="84" customFormat="false" ht="12.75" hidden="false" customHeight="false" outlineLevel="0" collapsed="false">
      <c r="A84" s="5" t="n">
        <v>102</v>
      </c>
      <c r="B84" s="6" t="s">
        <v>955</v>
      </c>
      <c r="C84" s="6" t="s">
        <v>12</v>
      </c>
      <c r="D84" s="6" t="s">
        <v>956</v>
      </c>
      <c r="E84" s="6" t="s">
        <v>14</v>
      </c>
      <c r="F84" s="6" t="n">
        <v>2651.280302325</v>
      </c>
      <c r="G84" s="6" t="n">
        <v>2649.442</v>
      </c>
      <c r="H84" s="6" t="s">
        <v>792</v>
      </c>
      <c r="I84" s="0" t="n">
        <v>0.4</v>
      </c>
      <c r="J84" s="0" t="n">
        <f aca="false">CONVERT(G84,"m^2","ha")</f>
        <v>0.2649442</v>
      </c>
      <c r="K84" s="0" t="b">
        <f aca="false">IF(J84&gt;(I84*2),((ROUNDDOWN(J84/I84,0))-1))</f>
        <v>0</v>
      </c>
    </row>
    <row r="85" customFormat="false" ht="12.75" hidden="false" customHeight="false" outlineLevel="0" collapsed="false">
      <c r="A85" s="5" t="n">
        <v>103</v>
      </c>
      <c r="B85" s="6" t="s">
        <v>957</v>
      </c>
      <c r="C85" s="6" t="s">
        <v>12</v>
      </c>
      <c r="D85" s="6" t="s">
        <v>958</v>
      </c>
      <c r="E85" s="6" t="s">
        <v>14</v>
      </c>
      <c r="F85" s="6" t="n">
        <v>1284.25923158</v>
      </c>
      <c r="G85" s="6" t="n">
        <v>1284.259</v>
      </c>
      <c r="H85" s="6" t="s">
        <v>792</v>
      </c>
      <c r="I85" s="0" t="n">
        <v>0.4</v>
      </c>
      <c r="J85" s="0" t="n">
        <f aca="false">CONVERT(G85,"m^2","ha")</f>
        <v>0.1284259</v>
      </c>
      <c r="K85" s="0" t="b">
        <f aca="false">IF(J85&gt;(I85*2),((ROUNDDOWN(J85/I85,0))-1))</f>
        <v>0</v>
      </c>
    </row>
    <row r="86" customFormat="false" ht="12.75" hidden="false" customHeight="false" outlineLevel="0" collapsed="false">
      <c r="A86" s="5" t="n">
        <v>105</v>
      </c>
      <c r="B86" s="6" t="s">
        <v>959</v>
      </c>
      <c r="C86" s="6" t="s">
        <v>12</v>
      </c>
      <c r="D86" s="6" t="s">
        <v>960</v>
      </c>
      <c r="E86" s="6" t="s">
        <v>14</v>
      </c>
      <c r="F86" s="6" t="n">
        <v>1714.91172036</v>
      </c>
      <c r="G86" s="6" t="n">
        <v>1714.912</v>
      </c>
      <c r="H86" s="6" t="s">
        <v>792</v>
      </c>
      <c r="I86" s="0" t="n">
        <v>0.4</v>
      </c>
      <c r="J86" s="0" t="n">
        <f aca="false">CONVERT(G86,"m^2","ha")</f>
        <v>0.1714912</v>
      </c>
      <c r="K86" s="0" t="b">
        <f aca="false">IF(J86&gt;(I86*2),((ROUNDDOWN(J86/I86,0))-1))</f>
        <v>0</v>
      </c>
    </row>
    <row r="87" customFormat="false" ht="12.75" hidden="false" customHeight="false" outlineLevel="0" collapsed="false">
      <c r="A87" s="5" t="n">
        <v>107</v>
      </c>
      <c r="B87" s="6" t="s">
        <v>961</v>
      </c>
      <c r="C87" s="6" t="s">
        <v>12</v>
      </c>
      <c r="D87" s="6" t="s">
        <v>962</v>
      </c>
      <c r="E87" s="6" t="s">
        <v>14</v>
      </c>
      <c r="F87" s="6" t="n">
        <v>4399.95541686</v>
      </c>
      <c r="G87" s="6" t="n">
        <v>4399.955</v>
      </c>
      <c r="H87" s="6" t="s">
        <v>792</v>
      </c>
      <c r="I87" s="0" t="n">
        <v>0.4</v>
      </c>
      <c r="J87" s="0" t="n">
        <f aca="false">CONVERT(G87,"m^2","ha")</f>
        <v>0.4399955</v>
      </c>
      <c r="K87" s="0" t="b">
        <f aca="false">IF(J87&gt;(I87*2),((ROUNDDOWN(J87/I87,0))-1))</f>
        <v>0</v>
      </c>
    </row>
    <row r="88" customFormat="false" ht="12.75" hidden="false" customHeight="false" outlineLevel="0" collapsed="false">
      <c r="A88" s="5" t="n">
        <v>108</v>
      </c>
      <c r="B88" s="6" t="s">
        <v>963</v>
      </c>
      <c r="C88" s="6" t="s">
        <v>12</v>
      </c>
      <c r="D88" s="6" t="s">
        <v>964</v>
      </c>
      <c r="E88" s="6" t="s">
        <v>14</v>
      </c>
      <c r="F88" s="6" t="n">
        <v>1631.80155591</v>
      </c>
      <c r="G88" s="6" t="n">
        <v>1631.802</v>
      </c>
      <c r="H88" s="6" t="s">
        <v>792</v>
      </c>
      <c r="I88" s="0" t="n">
        <v>0.4</v>
      </c>
      <c r="J88" s="0" t="n">
        <f aca="false">CONVERT(G88,"m^2","ha")</f>
        <v>0.1631802</v>
      </c>
      <c r="K88" s="0" t="b">
        <f aca="false">IF(J88&gt;(I88*2),((ROUNDDOWN(J88/I88,0))-1))</f>
        <v>0</v>
      </c>
    </row>
    <row r="89" customFormat="false" ht="12.75" hidden="false" customHeight="false" outlineLevel="0" collapsed="false">
      <c r="A89" s="5" t="n">
        <v>110</v>
      </c>
      <c r="B89" s="6" t="s">
        <v>965</v>
      </c>
      <c r="C89" s="6" t="s">
        <v>12</v>
      </c>
      <c r="D89" s="6" t="s">
        <v>966</v>
      </c>
      <c r="E89" s="6" t="s">
        <v>14</v>
      </c>
      <c r="F89" s="6" t="n">
        <v>1506.556194755</v>
      </c>
      <c r="G89" s="6" t="n">
        <v>1506.556</v>
      </c>
      <c r="H89" s="6" t="s">
        <v>792</v>
      </c>
      <c r="I89" s="0" t="n">
        <v>0.4</v>
      </c>
      <c r="J89" s="0" t="n">
        <f aca="false">CONVERT(G89,"m^2","ha")</f>
        <v>0.1506556</v>
      </c>
      <c r="K89" s="0" t="b">
        <f aca="false">IF(J89&gt;(I89*2),((ROUNDDOWN(J89/I89,0))-1))</f>
        <v>0</v>
      </c>
    </row>
    <row r="90" customFormat="false" ht="12.75" hidden="false" customHeight="false" outlineLevel="0" collapsed="false">
      <c r="A90" s="5" t="n">
        <v>111</v>
      </c>
      <c r="B90" s="6" t="s">
        <v>967</v>
      </c>
      <c r="C90" s="6" t="s">
        <v>12</v>
      </c>
      <c r="D90" s="6" t="s">
        <v>968</v>
      </c>
      <c r="E90" s="6" t="s">
        <v>14</v>
      </c>
      <c r="F90" s="6" t="n">
        <v>1985.249375915</v>
      </c>
      <c r="G90" s="6" t="n">
        <v>1985.249</v>
      </c>
      <c r="H90" s="6" t="s">
        <v>792</v>
      </c>
      <c r="I90" s="0" t="n">
        <v>0.4</v>
      </c>
      <c r="J90" s="0" t="n">
        <f aca="false">CONVERT(G90,"m^2","ha")</f>
        <v>0.1985249</v>
      </c>
      <c r="K90" s="0" t="b">
        <f aca="false">IF(J90&gt;(I90*2),((ROUNDDOWN(J90/I90,0))-1))</f>
        <v>0</v>
      </c>
    </row>
    <row r="91" customFormat="false" ht="12.75" hidden="false" customHeight="false" outlineLevel="0" collapsed="false">
      <c r="A91" s="5" t="n">
        <v>112</v>
      </c>
      <c r="B91" s="6" t="s">
        <v>969</v>
      </c>
      <c r="C91" s="6" t="s">
        <v>12</v>
      </c>
      <c r="D91" s="6" t="s">
        <v>970</v>
      </c>
      <c r="E91" s="6" t="s">
        <v>14</v>
      </c>
      <c r="F91" s="6" t="n">
        <v>1083.594804625</v>
      </c>
      <c r="G91" s="6" t="n">
        <v>1083.595</v>
      </c>
      <c r="H91" s="6" t="s">
        <v>792</v>
      </c>
      <c r="I91" s="0" t="n">
        <v>0.4</v>
      </c>
      <c r="J91" s="0" t="n">
        <f aca="false">CONVERT(G91,"m^2","ha")</f>
        <v>0.1083595</v>
      </c>
      <c r="K91" s="0" t="b">
        <f aca="false">IF(J91&gt;(I91*2),((ROUNDDOWN(J91/I91,0))-1))</f>
        <v>0</v>
      </c>
    </row>
    <row r="92" customFormat="false" ht="12.75" hidden="false" customHeight="false" outlineLevel="0" collapsed="false">
      <c r="A92" s="5" t="n">
        <v>113</v>
      </c>
      <c r="B92" s="6" t="s">
        <v>971</v>
      </c>
      <c r="C92" s="6" t="s">
        <v>12</v>
      </c>
      <c r="D92" s="6" t="s">
        <v>972</v>
      </c>
      <c r="E92" s="6" t="s">
        <v>14</v>
      </c>
      <c r="F92" s="6" t="n">
        <v>2737.965270395</v>
      </c>
      <c r="G92" s="6" t="n">
        <v>2737.965</v>
      </c>
      <c r="H92" s="6" t="s">
        <v>792</v>
      </c>
      <c r="I92" s="0" t="n">
        <v>0.4</v>
      </c>
      <c r="J92" s="0" t="n">
        <f aca="false">CONVERT(G92,"m^2","ha")</f>
        <v>0.2737965</v>
      </c>
      <c r="K92" s="0" t="b">
        <f aca="false">IF(J92&gt;(I92*2),((ROUNDDOWN(J92/I92,0))-1))</f>
        <v>0</v>
      </c>
    </row>
    <row r="93" customFormat="false" ht="12.75" hidden="false" customHeight="false" outlineLevel="0" collapsed="false">
      <c r="A93" s="5" t="n">
        <v>114</v>
      </c>
      <c r="B93" s="6" t="s">
        <v>973</v>
      </c>
      <c r="C93" s="6" t="s">
        <v>12</v>
      </c>
      <c r="D93" s="6" t="s">
        <v>974</v>
      </c>
      <c r="E93" s="6" t="s">
        <v>14</v>
      </c>
      <c r="F93" s="6" t="n">
        <v>1628.775875895</v>
      </c>
      <c r="G93" s="6" t="n">
        <v>1626.829</v>
      </c>
      <c r="H93" s="6" t="s">
        <v>792</v>
      </c>
      <c r="I93" s="0" t="n">
        <v>0.4</v>
      </c>
      <c r="J93" s="0" t="n">
        <f aca="false">CONVERT(G93,"m^2","ha")</f>
        <v>0.1626829</v>
      </c>
      <c r="K93" s="0" t="b">
        <f aca="false">IF(J93&gt;(I93*2),((ROUNDDOWN(J93/I93,0))-1))</f>
        <v>0</v>
      </c>
    </row>
    <row r="94" customFormat="false" ht="12.75" hidden="false" customHeight="false" outlineLevel="0" collapsed="false">
      <c r="A94" s="5" t="n">
        <v>115</v>
      </c>
      <c r="B94" s="6" t="s">
        <v>975</v>
      </c>
      <c r="C94" s="6" t="s">
        <v>12</v>
      </c>
      <c r="D94" s="6" t="s">
        <v>976</v>
      </c>
      <c r="E94" s="6" t="s">
        <v>14</v>
      </c>
      <c r="F94" s="6" t="n">
        <v>4949.274468285</v>
      </c>
      <c r="G94" s="6" t="n">
        <v>4949.274</v>
      </c>
      <c r="H94" s="6" t="s">
        <v>792</v>
      </c>
      <c r="I94" s="0" t="n">
        <v>0.4</v>
      </c>
      <c r="J94" s="0" t="n">
        <f aca="false">CONVERT(G94,"m^2","ha")</f>
        <v>0.4949274</v>
      </c>
      <c r="K94" s="0" t="b">
        <f aca="false">IF(J94&gt;(I94*2),((ROUNDDOWN(J94/I94,0))-1))</f>
        <v>0</v>
      </c>
    </row>
    <row r="95" customFormat="false" ht="12.75" hidden="false" customHeight="false" outlineLevel="0" collapsed="false">
      <c r="A95" s="5" t="n">
        <v>116</v>
      </c>
      <c r="B95" s="6" t="s">
        <v>977</v>
      </c>
      <c r="C95" s="6" t="s">
        <v>12</v>
      </c>
      <c r="D95" s="6" t="s">
        <v>978</v>
      </c>
      <c r="E95" s="6" t="s">
        <v>14</v>
      </c>
      <c r="F95" s="6" t="n">
        <v>931.816311355</v>
      </c>
      <c r="G95" s="6" t="n">
        <v>931.816</v>
      </c>
      <c r="H95" s="6" t="s">
        <v>792</v>
      </c>
      <c r="I95" s="0" t="n">
        <v>0.4</v>
      </c>
      <c r="J95" s="0" t="n">
        <f aca="false">CONVERT(G95,"m^2","ha")</f>
        <v>0.0931816</v>
      </c>
      <c r="K95" s="0" t="b">
        <f aca="false">IF(J95&gt;(I95*2),((ROUNDDOWN(J95/I95,0))-1))</f>
        <v>0</v>
      </c>
    </row>
    <row r="96" customFormat="false" ht="12.75" hidden="false" customHeight="false" outlineLevel="0" collapsed="false">
      <c r="A96" s="5" t="n">
        <v>117</v>
      </c>
      <c r="B96" s="6" t="s">
        <v>979</v>
      </c>
      <c r="C96" s="6" t="s">
        <v>12</v>
      </c>
      <c r="D96" s="6" t="s">
        <v>980</v>
      </c>
      <c r="E96" s="6" t="s">
        <v>14</v>
      </c>
      <c r="F96" s="6" t="n">
        <v>6043.12790529</v>
      </c>
      <c r="G96" s="6" t="n">
        <v>6043.128</v>
      </c>
      <c r="H96" s="6" t="s">
        <v>792</v>
      </c>
      <c r="I96" s="0" t="n">
        <v>0.4</v>
      </c>
      <c r="J96" s="0" t="n">
        <f aca="false">CONVERT(G96,"m^2","ha")</f>
        <v>0.6043128</v>
      </c>
      <c r="K96" s="0" t="b">
        <f aca="false">IF(J96&gt;(I96*2),((ROUNDDOWN(J96/I96,0))-1))</f>
        <v>0</v>
      </c>
    </row>
    <row r="97" customFormat="false" ht="12.75" hidden="false" customHeight="false" outlineLevel="0" collapsed="false">
      <c r="A97" s="5" t="n">
        <v>118</v>
      </c>
      <c r="B97" s="6" t="s">
        <v>981</v>
      </c>
      <c r="C97" s="6" t="s">
        <v>89</v>
      </c>
      <c r="D97" s="6" t="s">
        <v>982</v>
      </c>
      <c r="E97" s="6" t="s">
        <v>14</v>
      </c>
      <c r="F97" s="6" t="n">
        <v>1042.66040467</v>
      </c>
      <c r="G97" s="6" t="n">
        <v>1042.66</v>
      </c>
      <c r="H97" s="6" t="s">
        <v>792</v>
      </c>
      <c r="I97" s="0" t="n">
        <v>0.4</v>
      </c>
      <c r="J97" s="0" t="n">
        <f aca="false">CONVERT(G97,"m^2","ha")</f>
        <v>0.104266</v>
      </c>
      <c r="K97" s="0" t="b">
        <f aca="false">IF(J97&gt;(I97*2),((ROUNDDOWN(J97/I97,0))-1))</f>
        <v>0</v>
      </c>
    </row>
    <row r="98" customFormat="false" ht="12.75" hidden="false" customHeight="false" outlineLevel="0" collapsed="false">
      <c r="A98" s="5" t="n">
        <v>119</v>
      </c>
      <c r="B98" s="6" t="s">
        <v>983</v>
      </c>
      <c r="C98" s="6" t="s">
        <v>12</v>
      </c>
      <c r="D98" s="6" t="s">
        <v>984</v>
      </c>
      <c r="E98" s="6" t="s">
        <v>14</v>
      </c>
      <c r="F98" s="6" t="n">
        <v>1482.38105695</v>
      </c>
      <c r="G98" s="6" t="n">
        <v>1482.381</v>
      </c>
      <c r="H98" s="6" t="s">
        <v>792</v>
      </c>
      <c r="I98" s="0" t="n">
        <v>0.4</v>
      </c>
      <c r="J98" s="0" t="n">
        <f aca="false">CONVERT(G98,"m^2","ha")</f>
        <v>0.1482381</v>
      </c>
      <c r="K98" s="0" t="b">
        <f aca="false">IF(J98&gt;(I98*2),((ROUNDDOWN(J98/I98,0))-1))</f>
        <v>0</v>
      </c>
    </row>
    <row r="99" customFormat="false" ht="12.75" hidden="false" customHeight="false" outlineLevel="0" collapsed="false">
      <c r="A99" s="5" t="n">
        <v>120</v>
      </c>
      <c r="B99" s="6" t="s">
        <v>985</v>
      </c>
      <c r="C99" s="6" t="s">
        <v>12</v>
      </c>
      <c r="D99" s="6" t="s">
        <v>986</v>
      </c>
      <c r="E99" s="6" t="s">
        <v>14</v>
      </c>
      <c r="F99" s="6" t="n">
        <v>1850.160582935</v>
      </c>
      <c r="G99" s="6" t="n">
        <v>1850.161</v>
      </c>
      <c r="H99" s="6" t="s">
        <v>792</v>
      </c>
      <c r="I99" s="0" t="n">
        <v>0.4</v>
      </c>
      <c r="J99" s="0" t="n">
        <f aca="false">CONVERT(G99,"m^2","ha")</f>
        <v>0.1850161</v>
      </c>
      <c r="K99" s="0" t="b">
        <f aca="false">IF(J99&gt;(I99*2),((ROUNDDOWN(J99/I99,0))-1))</f>
        <v>0</v>
      </c>
    </row>
    <row r="100" customFormat="false" ht="12.75" hidden="false" customHeight="false" outlineLevel="0" collapsed="false">
      <c r="A100" s="5" t="n">
        <v>121</v>
      </c>
      <c r="B100" s="6" t="s">
        <v>987</v>
      </c>
      <c r="C100" s="6" t="s">
        <v>89</v>
      </c>
      <c r="D100" s="6" t="s">
        <v>988</v>
      </c>
      <c r="E100" s="6" t="s">
        <v>14</v>
      </c>
      <c r="F100" s="6" t="n">
        <v>3176.73742572</v>
      </c>
      <c r="G100" s="6" t="n">
        <v>3176.989</v>
      </c>
      <c r="H100" s="6" t="s">
        <v>792</v>
      </c>
      <c r="I100" s="0" t="n">
        <v>0.4</v>
      </c>
      <c r="J100" s="0" t="n">
        <f aca="false">CONVERT(G100,"m^2","ha")</f>
        <v>0.3176989</v>
      </c>
      <c r="K100" s="0" t="b">
        <f aca="false">IF(J100&gt;(I100*2),((ROUNDDOWN(J100/I100,0))-1))</f>
        <v>0</v>
      </c>
    </row>
    <row r="101" customFormat="false" ht="12.75" hidden="false" customHeight="false" outlineLevel="0" collapsed="false">
      <c r="A101" s="5" t="n">
        <v>122</v>
      </c>
      <c r="B101" s="6" t="s">
        <v>989</v>
      </c>
      <c r="C101" s="6" t="s">
        <v>12</v>
      </c>
      <c r="D101" s="6" t="s">
        <v>990</v>
      </c>
      <c r="E101" s="6" t="s">
        <v>14</v>
      </c>
      <c r="F101" s="6" t="n">
        <v>1226.320130175</v>
      </c>
      <c r="G101" s="6" t="n">
        <v>1226.32</v>
      </c>
      <c r="H101" s="6" t="s">
        <v>792</v>
      </c>
      <c r="I101" s="0" t="n">
        <v>0.4</v>
      </c>
      <c r="J101" s="0" t="n">
        <f aca="false">CONVERT(G101,"m^2","ha")</f>
        <v>0.122632</v>
      </c>
      <c r="K101" s="0" t="b">
        <f aca="false">IF(J101&gt;(I101*2),((ROUNDDOWN(J101/I101,0))-1))</f>
        <v>0</v>
      </c>
    </row>
    <row r="102" customFormat="false" ht="12.75" hidden="false" customHeight="false" outlineLevel="0" collapsed="false">
      <c r="A102" s="5" t="n">
        <v>123</v>
      </c>
      <c r="B102" s="6" t="s">
        <v>991</v>
      </c>
      <c r="C102" s="6" t="s">
        <v>12</v>
      </c>
      <c r="D102" s="6" t="s">
        <v>992</v>
      </c>
      <c r="E102" s="6" t="s">
        <v>14</v>
      </c>
      <c r="F102" s="6" t="n">
        <v>935.64286067</v>
      </c>
      <c r="G102" s="6" t="n">
        <v>935.643</v>
      </c>
      <c r="H102" s="6" t="s">
        <v>792</v>
      </c>
      <c r="I102" s="0" t="n">
        <v>0.4</v>
      </c>
      <c r="J102" s="0" t="n">
        <f aca="false">CONVERT(G102,"m^2","ha")</f>
        <v>0.0935643</v>
      </c>
      <c r="K102" s="0" t="b">
        <f aca="false">IF(J102&gt;(I102*2),((ROUNDDOWN(J102/I102,0))-1))</f>
        <v>0</v>
      </c>
    </row>
    <row r="103" customFormat="false" ht="12.75" hidden="false" customHeight="false" outlineLevel="0" collapsed="false">
      <c r="A103" s="5" t="n">
        <v>124</v>
      </c>
      <c r="B103" s="6" t="s">
        <v>993</v>
      </c>
      <c r="C103" s="6" t="s">
        <v>12</v>
      </c>
      <c r="D103" s="6" t="s">
        <v>994</v>
      </c>
      <c r="E103" s="6" t="s">
        <v>14</v>
      </c>
      <c r="F103" s="6" t="n">
        <v>3159.69379368</v>
      </c>
      <c r="G103" s="6" t="n">
        <v>3159.694</v>
      </c>
      <c r="H103" s="6" t="s">
        <v>792</v>
      </c>
      <c r="I103" s="0" t="n">
        <v>0.4</v>
      </c>
      <c r="J103" s="0" t="n">
        <f aca="false">CONVERT(G103,"m^2","ha")</f>
        <v>0.3159694</v>
      </c>
      <c r="K103" s="0" t="b">
        <f aca="false">IF(J103&gt;(I103*2),((ROUNDDOWN(J103/I103,0))-1))</f>
        <v>0</v>
      </c>
    </row>
    <row r="104" customFormat="false" ht="12.75" hidden="false" customHeight="false" outlineLevel="0" collapsed="false">
      <c r="A104" s="5" t="n">
        <v>125</v>
      </c>
      <c r="B104" s="6" t="s">
        <v>995</v>
      </c>
      <c r="C104" s="6" t="s">
        <v>89</v>
      </c>
      <c r="D104" s="6" t="s">
        <v>996</v>
      </c>
      <c r="E104" s="6" t="s">
        <v>14</v>
      </c>
      <c r="F104" s="6" t="n">
        <v>2617.78064114</v>
      </c>
      <c r="G104" s="6" t="n">
        <v>2617.781</v>
      </c>
      <c r="H104" s="6" t="s">
        <v>792</v>
      </c>
      <c r="I104" s="0" t="n">
        <v>0.4</v>
      </c>
      <c r="J104" s="0" t="n">
        <f aca="false">CONVERT(G104,"m^2","ha")</f>
        <v>0.2617781</v>
      </c>
      <c r="K104" s="0" t="b">
        <f aca="false">IF(J104&gt;(I104*2),((ROUNDDOWN(J104/I104,0))-1))</f>
        <v>0</v>
      </c>
    </row>
    <row r="105" customFormat="false" ht="12.75" hidden="false" customHeight="false" outlineLevel="0" collapsed="false">
      <c r="A105" s="5" t="n">
        <v>127</v>
      </c>
      <c r="B105" s="6" t="s">
        <v>997</v>
      </c>
      <c r="C105" s="6" t="s">
        <v>89</v>
      </c>
      <c r="D105" s="6" t="s">
        <v>998</v>
      </c>
      <c r="E105" s="6" t="s">
        <v>14</v>
      </c>
      <c r="F105" s="6" t="n">
        <v>5334.21885891</v>
      </c>
      <c r="G105" s="6" t="n">
        <v>5334.347</v>
      </c>
      <c r="H105" s="6" t="s">
        <v>792</v>
      </c>
      <c r="I105" s="0" t="n">
        <v>0.4</v>
      </c>
      <c r="J105" s="0" t="n">
        <f aca="false">CONVERT(G105,"m^2","ha")</f>
        <v>0.5334347</v>
      </c>
      <c r="K105" s="0" t="b">
        <f aca="false">IF(J105&gt;(I105*2),((ROUNDDOWN(J105/I105,0))-1))</f>
        <v>0</v>
      </c>
    </row>
    <row r="106" customFormat="false" ht="12.75" hidden="false" customHeight="false" outlineLevel="0" collapsed="false">
      <c r="A106" s="5" t="n">
        <v>128</v>
      </c>
      <c r="B106" s="6" t="s">
        <v>999</v>
      </c>
      <c r="C106" s="6" t="s">
        <v>12</v>
      </c>
      <c r="D106" s="6" t="s">
        <v>1000</v>
      </c>
      <c r="E106" s="6" t="s">
        <v>14</v>
      </c>
      <c r="F106" s="6" t="n">
        <v>774.04836822</v>
      </c>
      <c r="G106" s="6" t="n">
        <v>774.048</v>
      </c>
      <c r="H106" s="6" t="s">
        <v>792</v>
      </c>
      <c r="I106" s="0" t="n">
        <v>0.4</v>
      </c>
      <c r="J106" s="0" t="n">
        <f aca="false">CONVERT(G106,"m^2","ha")</f>
        <v>0.0774048</v>
      </c>
      <c r="K106" s="0" t="b">
        <f aca="false">IF(J106&gt;(I106*2),((ROUNDDOWN(J106/I106,0))-1))</f>
        <v>0</v>
      </c>
    </row>
    <row r="107" customFormat="false" ht="12.75" hidden="false" customHeight="false" outlineLevel="0" collapsed="false">
      <c r="A107" s="5" t="n">
        <v>129</v>
      </c>
      <c r="B107" s="6" t="s">
        <v>1001</v>
      </c>
      <c r="C107" s="6" t="s">
        <v>12</v>
      </c>
      <c r="D107" s="6" t="s">
        <v>1002</v>
      </c>
      <c r="E107" s="6" t="s">
        <v>14</v>
      </c>
      <c r="F107" s="6" t="n">
        <v>1320.83403747</v>
      </c>
      <c r="G107" s="6" t="n">
        <v>1320.834</v>
      </c>
      <c r="H107" s="6" t="s">
        <v>792</v>
      </c>
      <c r="I107" s="0" t="n">
        <v>0.4</v>
      </c>
      <c r="J107" s="0" t="n">
        <f aca="false">CONVERT(G107,"m^2","ha")</f>
        <v>0.1320834</v>
      </c>
      <c r="K107" s="0" t="b">
        <f aca="false">IF(J107&gt;(I107*2),((ROUNDDOWN(J107/I107,0))-1))</f>
        <v>0</v>
      </c>
    </row>
    <row r="108" customFormat="false" ht="12.75" hidden="false" customHeight="false" outlineLevel="0" collapsed="false">
      <c r="A108" s="5" t="n">
        <v>130</v>
      </c>
      <c r="B108" s="6" t="s">
        <v>1003</v>
      </c>
      <c r="C108" s="6" t="s">
        <v>12</v>
      </c>
      <c r="D108" s="6" t="s">
        <v>1004</v>
      </c>
      <c r="E108" s="6" t="s">
        <v>14</v>
      </c>
      <c r="F108" s="6" t="n">
        <v>1461.58235219</v>
      </c>
      <c r="G108" s="6" t="n">
        <v>1461.582</v>
      </c>
      <c r="H108" s="6" t="s">
        <v>792</v>
      </c>
      <c r="I108" s="0" t="n">
        <v>0.4</v>
      </c>
      <c r="J108" s="0" t="n">
        <f aca="false">CONVERT(G108,"m^2","ha")</f>
        <v>0.1461582</v>
      </c>
      <c r="K108" s="0" t="b">
        <f aca="false">IF(J108&gt;(I108*2),((ROUNDDOWN(J108/I108,0))-1))</f>
        <v>0</v>
      </c>
    </row>
    <row r="109" customFormat="false" ht="12.75" hidden="false" customHeight="false" outlineLevel="0" collapsed="false">
      <c r="A109" s="5" t="n">
        <v>131</v>
      </c>
      <c r="B109" s="6" t="s">
        <v>1005</v>
      </c>
      <c r="C109" s="6" t="s">
        <v>89</v>
      </c>
      <c r="D109" s="6" t="s">
        <v>1006</v>
      </c>
      <c r="E109" s="6" t="s">
        <v>14</v>
      </c>
      <c r="F109" s="6" t="n">
        <v>3141.868360725</v>
      </c>
      <c r="G109" s="6" t="n">
        <v>3142.294</v>
      </c>
      <c r="H109" s="6" t="s">
        <v>792</v>
      </c>
      <c r="I109" s="0" t="n">
        <v>0.4</v>
      </c>
      <c r="J109" s="0" t="n">
        <f aca="false">CONVERT(G109,"m^2","ha")</f>
        <v>0.3142294</v>
      </c>
      <c r="K109" s="0" t="b">
        <f aca="false">IF(J109&gt;(I109*2),((ROUNDDOWN(J109/I109,0))-1))</f>
        <v>0</v>
      </c>
    </row>
    <row r="110" customFormat="false" ht="12.75" hidden="false" customHeight="false" outlineLevel="0" collapsed="false">
      <c r="A110" s="5" t="n">
        <v>132</v>
      </c>
      <c r="B110" s="6" t="s">
        <v>1007</v>
      </c>
      <c r="C110" s="6" t="s">
        <v>12</v>
      </c>
      <c r="D110" s="6" t="s">
        <v>1008</v>
      </c>
      <c r="E110" s="6" t="s">
        <v>14</v>
      </c>
      <c r="F110" s="6" t="n">
        <v>1387.7934533</v>
      </c>
      <c r="G110" s="6" t="n">
        <v>1387.793</v>
      </c>
      <c r="H110" s="6" t="s">
        <v>792</v>
      </c>
      <c r="I110" s="0" t="n">
        <v>0.4</v>
      </c>
      <c r="J110" s="0" t="n">
        <f aca="false">CONVERT(G110,"m^2","ha")</f>
        <v>0.1387793</v>
      </c>
      <c r="K110" s="0" t="b">
        <f aca="false">IF(J110&gt;(I110*2),((ROUNDDOWN(J110/I110,0))-1))</f>
        <v>0</v>
      </c>
    </row>
    <row r="111" customFormat="false" ht="12.75" hidden="false" customHeight="false" outlineLevel="0" collapsed="false">
      <c r="A111" s="5" t="n">
        <v>133</v>
      </c>
      <c r="B111" s="6" t="s">
        <v>1009</v>
      </c>
      <c r="C111" s="6" t="s">
        <v>12</v>
      </c>
      <c r="D111" s="6" t="s">
        <v>1010</v>
      </c>
      <c r="E111" s="6" t="s">
        <v>14</v>
      </c>
      <c r="F111" s="6" t="n">
        <v>12084.83471685</v>
      </c>
      <c r="G111" s="6" t="n">
        <v>12084.835</v>
      </c>
      <c r="H111" s="6" t="s">
        <v>792</v>
      </c>
      <c r="I111" s="0" t="n">
        <v>0.4</v>
      </c>
      <c r="J111" s="0" t="n">
        <f aca="false">CONVERT(G111,"m^2","ha")</f>
        <v>1.2084835</v>
      </c>
      <c r="K111" s="0" t="n">
        <f aca="false">IF(J111&gt;(I111*2),((ROUNDDOWN(J111/I111,0))-1))</f>
        <v>2</v>
      </c>
    </row>
    <row r="112" customFormat="false" ht="12.75" hidden="false" customHeight="false" outlineLevel="0" collapsed="false">
      <c r="A112" s="5" t="n">
        <v>134</v>
      </c>
      <c r="B112" s="6" t="s">
        <v>1011</v>
      </c>
      <c r="C112" s="6" t="s">
        <v>89</v>
      </c>
      <c r="D112" s="6" t="s">
        <v>1012</v>
      </c>
      <c r="E112" s="6" t="s">
        <v>14</v>
      </c>
      <c r="F112" s="6" t="n">
        <v>5134.25629547</v>
      </c>
      <c r="G112" s="6" t="n">
        <v>5134.835</v>
      </c>
      <c r="H112" s="6" t="s">
        <v>792</v>
      </c>
      <c r="I112" s="0" t="n">
        <v>0.4</v>
      </c>
      <c r="J112" s="0" t="n">
        <f aca="false">CONVERT(G112,"m^2","ha")</f>
        <v>0.5134835</v>
      </c>
      <c r="K112" s="0" t="b">
        <f aca="false">IF(J112&gt;(I112*2),((ROUNDDOWN(J112/I112,0))-1))</f>
        <v>0</v>
      </c>
    </row>
    <row r="113" customFormat="false" ht="12.75" hidden="false" customHeight="false" outlineLevel="0" collapsed="false">
      <c r="A113" s="5" t="n">
        <v>135</v>
      </c>
      <c r="B113" s="6" t="s">
        <v>1013</v>
      </c>
      <c r="C113" s="6" t="s">
        <v>12</v>
      </c>
      <c r="D113" s="6" t="s">
        <v>1014</v>
      </c>
      <c r="E113" s="6" t="s">
        <v>14</v>
      </c>
      <c r="F113" s="6" t="n">
        <v>1100.419300115</v>
      </c>
      <c r="G113" s="6" t="n">
        <v>1100.419</v>
      </c>
      <c r="H113" s="6" t="s">
        <v>792</v>
      </c>
      <c r="I113" s="0" t="n">
        <v>0.4</v>
      </c>
      <c r="J113" s="0" t="n">
        <f aca="false">CONVERT(G113,"m^2","ha")</f>
        <v>0.1100419</v>
      </c>
      <c r="K113" s="0" t="b">
        <f aca="false">IF(J113&gt;(I113*2),((ROUNDDOWN(J113/I113,0))-1))</f>
        <v>0</v>
      </c>
    </row>
    <row r="114" customFormat="false" ht="12.75" hidden="false" customHeight="false" outlineLevel="0" collapsed="false">
      <c r="A114" s="5" t="n">
        <v>136</v>
      </c>
      <c r="B114" s="6" t="s">
        <v>1015</v>
      </c>
      <c r="C114" s="6" t="s">
        <v>12</v>
      </c>
      <c r="D114" s="6" t="s">
        <v>1016</v>
      </c>
      <c r="E114" s="6" t="s">
        <v>14</v>
      </c>
      <c r="F114" s="6" t="n">
        <v>1619.728448795</v>
      </c>
      <c r="G114" s="6" t="n">
        <v>1619.728</v>
      </c>
      <c r="H114" s="6" t="s">
        <v>792</v>
      </c>
      <c r="I114" s="0" t="n">
        <v>0.4</v>
      </c>
      <c r="J114" s="0" t="n">
        <f aca="false">CONVERT(G114,"m^2","ha")</f>
        <v>0.1619728</v>
      </c>
      <c r="K114" s="0" t="b">
        <f aca="false">IF(J114&gt;(I114*2),((ROUNDDOWN(J114/I114,0))-1))</f>
        <v>0</v>
      </c>
    </row>
    <row r="115" customFormat="false" ht="12.75" hidden="false" customHeight="false" outlineLevel="0" collapsed="false">
      <c r="A115" s="5" t="n">
        <v>137</v>
      </c>
      <c r="B115" s="6" t="s">
        <v>1017</v>
      </c>
      <c r="C115" s="6" t="s">
        <v>89</v>
      </c>
      <c r="D115" s="6" t="s">
        <v>1018</v>
      </c>
      <c r="E115" s="6" t="s">
        <v>14</v>
      </c>
      <c r="F115" s="6" t="n">
        <v>1265.907218435</v>
      </c>
      <c r="G115" s="6" t="n">
        <v>1265.907</v>
      </c>
      <c r="H115" s="6" t="s">
        <v>792</v>
      </c>
      <c r="I115" s="0" t="n">
        <v>0.4</v>
      </c>
      <c r="J115" s="0" t="n">
        <f aca="false">CONVERT(G115,"m^2","ha")</f>
        <v>0.1265907</v>
      </c>
      <c r="K115" s="0" t="b">
        <f aca="false">IF(J115&gt;(I115*2),((ROUNDDOWN(J115/I115,0))-1))</f>
        <v>0</v>
      </c>
    </row>
    <row r="116" customFormat="false" ht="12.75" hidden="false" customHeight="false" outlineLevel="0" collapsed="false">
      <c r="A116" s="5" t="n">
        <v>138</v>
      </c>
      <c r="B116" s="6" t="s">
        <v>1019</v>
      </c>
      <c r="C116" s="6" t="s">
        <v>89</v>
      </c>
      <c r="D116" s="6" t="s">
        <v>1020</v>
      </c>
      <c r="E116" s="6" t="s">
        <v>14</v>
      </c>
      <c r="F116" s="6" t="n">
        <v>2806.134859535</v>
      </c>
      <c r="G116" s="6" t="n">
        <v>2806.135</v>
      </c>
      <c r="H116" s="6" t="s">
        <v>792</v>
      </c>
      <c r="I116" s="0" t="n">
        <v>0.4</v>
      </c>
      <c r="J116" s="0" t="n">
        <f aca="false">CONVERT(G116,"m^2","ha")</f>
        <v>0.2806135</v>
      </c>
      <c r="K116" s="0" t="b">
        <f aca="false">IF(J116&gt;(I116*2),((ROUNDDOWN(J116/I116,0))-1))</f>
        <v>0</v>
      </c>
    </row>
    <row r="117" customFormat="false" ht="12.75" hidden="false" customHeight="false" outlineLevel="0" collapsed="false">
      <c r="A117" s="5" t="n">
        <v>140</v>
      </c>
      <c r="B117" s="6" t="s">
        <v>1021</v>
      </c>
      <c r="C117" s="6" t="s">
        <v>12</v>
      </c>
      <c r="D117" s="6" t="s">
        <v>1022</v>
      </c>
      <c r="E117" s="6" t="s">
        <v>14</v>
      </c>
      <c r="F117" s="6" t="n">
        <v>1146.56865009</v>
      </c>
      <c r="G117" s="6" t="n">
        <v>1146.569</v>
      </c>
      <c r="H117" s="6" t="s">
        <v>792</v>
      </c>
      <c r="I117" s="0" t="n">
        <v>0.4</v>
      </c>
      <c r="J117" s="0" t="n">
        <f aca="false">CONVERT(G117,"m^2","ha")</f>
        <v>0.1146569</v>
      </c>
      <c r="K117" s="0" t="b">
        <f aca="false">IF(J117&gt;(I117*2),((ROUNDDOWN(J117/I117,0))-1))</f>
        <v>0</v>
      </c>
    </row>
    <row r="118" customFormat="false" ht="12.75" hidden="false" customHeight="false" outlineLevel="0" collapsed="false">
      <c r="A118" s="5" t="n">
        <v>141</v>
      </c>
      <c r="B118" s="6" t="s">
        <v>1023</v>
      </c>
      <c r="C118" s="6" t="s">
        <v>12</v>
      </c>
      <c r="D118" s="6" t="s">
        <v>1024</v>
      </c>
      <c r="E118" s="6" t="s">
        <v>14</v>
      </c>
      <c r="F118" s="6" t="n">
        <v>6422.37118646</v>
      </c>
      <c r="G118" s="6" t="n">
        <v>6422.371</v>
      </c>
      <c r="H118" s="6" t="s">
        <v>792</v>
      </c>
      <c r="I118" s="0" t="n">
        <v>0.4</v>
      </c>
      <c r="J118" s="0" t="n">
        <f aca="false">CONVERT(G118,"m^2","ha")</f>
        <v>0.6422371</v>
      </c>
      <c r="K118" s="0" t="b">
        <f aca="false">IF(J118&gt;(I118*2),((ROUNDDOWN(J118/I118,0))-1))</f>
        <v>0</v>
      </c>
    </row>
    <row r="119" customFormat="false" ht="12.75" hidden="false" customHeight="false" outlineLevel="0" collapsed="false">
      <c r="A119" s="5" t="n">
        <v>143</v>
      </c>
      <c r="B119" s="6" t="s">
        <v>1025</v>
      </c>
      <c r="C119" s="6" t="s">
        <v>12</v>
      </c>
      <c r="D119" s="6" t="s">
        <v>1026</v>
      </c>
      <c r="E119" s="6" t="s">
        <v>14</v>
      </c>
      <c r="F119" s="6" t="n">
        <v>2513.553625605</v>
      </c>
      <c r="G119" s="6" t="n">
        <v>2513.554</v>
      </c>
      <c r="H119" s="6" t="s">
        <v>792</v>
      </c>
      <c r="I119" s="0" t="n">
        <v>0.4</v>
      </c>
      <c r="J119" s="0" t="n">
        <f aca="false">CONVERT(G119,"m^2","ha")</f>
        <v>0.2513554</v>
      </c>
      <c r="K119" s="0" t="b">
        <f aca="false">IF(J119&gt;(I119*2),((ROUNDDOWN(J119/I119,0))-1))</f>
        <v>0</v>
      </c>
    </row>
    <row r="120" customFormat="false" ht="12.75" hidden="false" customHeight="false" outlineLevel="0" collapsed="false">
      <c r="A120" s="5" t="n">
        <v>144</v>
      </c>
      <c r="B120" s="6" t="s">
        <v>1027</v>
      </c>
      <c r="C120" s="6" t="s">
        <v>12</v>
      </c>
      <c r="D120" s="6" t="s">
        <v>1028</v>
      </c>
      <c r="E120" s="6" t="s">
        <v>14</v>
      </c>
      <c r="F120" s="6" t="n">
        <v>1119.784146195</v>
      </c>
      <c r="G120" s="6" t="n">
        <v>1119.784</v>
      </c>
      <c r="H120" s="6" t="s">
        <v>792</v>
      </c>
      <c r="I120" s="0" t="n">
        <v>0.4</v>
      </c>
      <c r="J120" s="0" t="n">
        <f aca="false">CONVERT(G120,"m^2","ha")</f>
        <v>0.1119784</v>
      </c>
      <c r="K120" s="0" t="b">
        <f aca="false">IF(J120&gt;(I120*2),((ROUNDDOWN(J120/I120,0))-1))</f>
        <v>0</v>
      </c>
    </row>
    <row r="121" customFormat="false" ht="12.75" hidden="false" customHeight="false" outlineLevel="0" collapsed="false">
      <c r="A121" s="5" t="n">
        <v>145</v>
      </c>
      <c r="B121" s="6" t="s">
        <v>1029</v>
      </c>
      <c r="C121" s="6" t="s">
        <v>12</v>
      </c>
      <c r="D121" s="6" t="s">
        <v>1030</v>
      </c>
      <c r="E121" s="6" t="s">
        <v>14</v>
      </c>
      <c r="F121" s="6" t="n">
        <v>874.86931545</v>
      </c>
      <c r="G121" s="6" t="n">
        <v>874.869</v>
      </c>
      <c r="H121" s="6" t="s">
        <v>792</v>
      </c>
      <c r="I121" s="0" t="n">
        <v>0.4</v>
      </c>
      <c r="J121" s="0" t="n">
        <f aca="false">CONVERT(G121,"m^2","ha")</f>
        <v>0.0874869</v>
      </c>
      <c r="K121" s="0" t="b">
        <f aca="false">IF(J121&gt;(I121*2),((ROUNDDOWN(J121/I121,0))-1))</f>
        <v>0</v>
      </c>
    </row>
    <row r="122" customFormat="false" ht="12.75" hidden="false" customHeight="false" outlineLevel="0" collapsed="false">
      <c r="A122" s="5" t="n">
        <v>146</v>
      </c>
      <c r="B122" s="6" t="s">
        <v>1031</v>
      </c>
      <c r="C122" s="6" t="s">
        <v>12</v>
      </c>
      <c r="D122" s="6" t="s">
        <v>1032</v>
      </c>
      <c r="E122" s="6" t="s">
        <v>14</v>
      </c>
      <c r="F122" s="6" t="n">
        <v>3427.54776214</v>
      </c>
      <c r="G122" s="6" t="n">
        <v>3427.548</v>
      </c>
      <c r="H122" s="6" t="s">
        <v>792</v>
      </c>
      <c r="I122" s="0" t="n">
        <v>0.4</v>
      </c>
      <c r="J122" s="0" t="n">
        <f aca="false">CONVERT(G122,"m^2","ha")</f>
        <v>0.3427548</v>
      </c>
      <c r="K122" s="0" t="b">
        <f aca="false">IF(J122&gt;(I122*2),((ROUNDDOWN(J122/I122,0))-1))</f>
        <v>0</v>
      </c>
    </row>
    <row r="123" customFormat="false" ht="12.75" hidden="false" customHeight="false" outlineLevel="0" collapsed="false">
      <c r="A123" s="5" t="n">
        <v>147</v>
      </c>
      <c r="B123" s="6" t="s">
        <v>1033</v>
      </c>
      <c r="C123" s="6" t="s">
        <v>12</v>
      </c>
      <c r="D123" s="6" t="s">
        <v>1034</v>
      </c>
      <c r="E123" s="6" t="s">
        <v>14</v>
      </c>
      <c r="F123" s="6" t="n">
        <v>4374.17108691</v>
      </c>
      <c r="G123" s="6" t="n">
        <v>4374.171</v>
      </c>
      <c r="H123" s="6" t="s">
        <v>792</v>
      </c>
      <c r="I123" s="0" t="n">
        <v>0.4</v>
      </c>
      <c r="J123" s="0" t="n">
        <f aca="false">CONVERT(G123,"m^2","ha")</f>
        <v>0.4374171</v>
      </c>
      <c r="K123" s="0" t="b">
        <f aca="false">IF(J123&gt;(I123*2),((ROUNDDOWN(J123/I123,0))-1))</f>
        <v>0</v>
      </c>
    </row>
    <row r="124" customFormat="false" ht="12.75" hidden="false" customHeight="false" outlineLevel="0" collapsed="false">
      <c r="A124" s="5" t="n">
        <v>148</v>
      </c>
      <c r="B124" s="6" t="s">
        <v>1035</v>
      </c>
      <c r="C124" s="6" t="s">
        <v>12</v>
      </c>
      <c r="D124" s="6" t="s">
        <v>1036</v>
      </c>
      <c r="E124" s="6" t="s">
        <v>14</v>
      </c>
      <c r="F124" s="6" t="n">
        <v>2332.83917048</v>
      </c>
      <c r="G124" s="6" t="n">
        <v>2332.839</v>
      </c>
      <c r="H124" s="6" t="s">
        <v>792</v>
      </c>
      <c r="I124" s="0" t="n">
        <v>0.4</v>
      </c>
      <c r="J124" s="0" t="n">
        <f aca="false">CONVERT(G124,"m^2","ha")</f>
        <v>0.2332839</v>
      </c>
      <c r="K124" s="0" t="b">
        <f aca="false">IF(J124&gt;(I124*2),((ROUNDDOWN(J124/I124,0))-1))</f>
        <v>0</v>
      </c>
    </row>
    <row r="125" customFormat="false" ht="12.75" hidden="false" customHeight="false" outlineLevel="0" collapsed="false">
      <c r="A125" s="5" t="n">
        <v>149</v>
      </c>
      <c r="B125" s="6" t="s">
        <v>1037</v>
      </c>
      <c r="C125" s="6" t="s">
        <v>89</v>
      </c>
      <c r="D125" s="6" t="s">
        <v>1038</v>
      </c>
      <c r="E125" s="6" t="s">
        <v>14</v>
      </c>
      <c r="F125" s="6" t="n">
        <v>1341.91068902</v>
      </c>
      <c r="G125" s="6" t="n">
        <v>1341.778</v>
      </c>
      <c r="H125" s="6" t="s">
        <v>792</v>
      </c>
      <c r="I125" s="0" t="n">
        <v>0.4</v>
      </c>
      <c r="J125" s="0" t="n">
        <f aca="false">CONVERT(G125,"m^2","ha")</f>
        <v>0.1341778</v>
      </c>
      <c r="K125" s="0" t="b">
        <f aca="false">IF(J125&gt;(I125*2),((ROUNDDOWN(J125/I125,0))-1))</f>
        <v>0</v>
      </c>
    </row>
    <row r="126" customFormat="false" ht="12.75" hidden="false" customHeight="false" outlineLevel="0" collapsed="false">
      <c r="A126" s="5" t="n">
        <v>150</v>
      </c>
      <c r="B126" s="6" t="s">
        <v>1039</v>
      </c>
      <c r="C126" s="6" t="s">
        <v>12</v>
      </c>
      <c r="D126" s="6" t="s">
        <v>1040</v>
      </c>
      <c r="E126" s="6" t="s">
        <v>14</v>
      </c>
      <c r="F126" s="6" t="n">
        <v>865.370030645</v>
      </c>
      <c r="G126" s="6" t="n">
        <v>865.37</v>
      </c>
      <c r="H126" s="6" t="s">
        <v>792</v>
      </c>
      <c r="I126" s="0" t="n">
        <v>0.4</v>
      </c>
      <c r="J126" s="0" t="n">
        <f aca="false">CONVERT(G126,"m^2","ha")</f>
        <v>0.086537</v>
      </c>
      <c r="K126" s="0" t="b">
        <f aca="false">IF(J126&gt;(I126*2),((ROUNDDOWN(J126/I126,0))-1))</f>
        <v>0</v>
      </c>
    </row>
    <row r="127" customFormat="false" ht="12.75" hidden="false" customHeight="false" outlineLevel="0" collapsed="false">
      <c r="A127" s="5" t="n">
        <v>151</v>
      </c>
      <c r="B127" s="6" t="s">
        <v>1041</v>
      </c>
      <c r="C127" s="6" t="s">
        <v>12</v>
      </c>
      <c r="D127" s="6" t="s">
        <v>1042</v>
      </c>
      <c r="E127" s="6" t="s">
        <v>14</v>
      </c>
      <c r="F127" s="6" t="n">
        <v>1665.68855829</v>
      </c>
      <c r="G127" s="6" t="n">
        <v>1665.689</v>
      </c>
      <c r="H127" s="6" t="s">
        <v>792</v>
      </c>
      <c r="I127" s="0" t="n">
        <v>0.4</v>
      </c>
      <c r="J127" s="0" t="n">
        <f aca="false">CONVERT(G127,"m^2","ha")</f>
        <v>0.1665689</v>
      </c>
      <c r="K127" s="0" t="b">
        <f aca="false">IF(J127&gt;(I127*2),((ROUNDDOWN(J127/I127,0))-1))</f>
        <v>0</v>
      </c>
    </row>
    <row r="128" customFormat="false" ht="12.75" hidden="false" customHeight="false" outlineLevel="0" collapsed="false">
      <c r="A128" s="5" t="n">
        <v>152</v>
      </c>
      <c r="B128" s="6" t="s">
        <v>1043</v>
      </c>
      <c r="C128" s="6" t="s">
        <v>12</v>
      </c>
      <c r="D128" s="6" t="s">
        <v>1044</v>
      </c>
      <c r="E128" s="6" t="s">
        <v>14</v>
      </c>
      <c r="F128" s="6" t="n">
        <v>3263.226414455</v>
      </c>
      <c r="G128" s="6" t="n">
        <v>3263.226</v>
      </c>
      <c r="H128" s="6" t="s">
        <v>792</v>
      </c>
      <c r="I128" s="0" t="n">
        <v>0.4</v>
      </c>
      <c r="J128" s="0" t="n">
        <f aca="false">CONVERT(G128,"m^2","ha")</f>
        <v>0.3263226</v>
      </c>
      <c r="K128" s="0" t="b">
        <f aca="false">IF(J128&gt;(I128*2),((ROUNDDOWN(J128/I128,0))-1))</f>
        <v>0</v>
      </c>
    </row>
    <row r="129" customFormat="false" ht="12.75" hidden="false" customHeight="false" outlineLevel="0" collapsed="false">
      <c r="A129" s="5" t="n">
        <v>153</v>
      </c>
      <c r="B129" s="6" t="s">
        <v>1045</v>
      </c>
      <c r="C129" s="6" t="s">
        <v>12</v>
      </c>
      <c r="D129" s="6" t="s">
        <v>1046</v>
      </c>
      <c r="E129" s="6" t="s">
        <v>14</v>
      </c>
      <c r="F129" s="6" t="n">
        <v>3383.228056085</v>
      </c>
      <c r="G129" s="6" t="n">
        <v>3383.228</v>
      </c>
      <c r="H129" s="6" t="s">
        <v>792</v>
      </c>
      <c r="I129" s="0" t="n">
        <v>0.4</v>
      </c>
      <c r="J129" s="0" t="n">
        <f aca="false">CONVERT(G129,"m^2","ha")</f>
        <v>0.3383228</v>
      </c>
      <c r="K129" s="0" t="b">
        <f aca="false">IF(J129&gt;(I129*2),((ROUNDDOWN(J129/I129,0))-1))</f>
        <v>0</v>
      </c>
    </row>
    <row r="130" customFormat="false" ht="12.75" hidden="false" customHeight="false" outlineLevel="0" collapsed="false">
      <c r="A130" s="5" t="n">
        <v>154</v>
      </c>
      <c r="B130" s="6" t="s">
        <v>1047</v>
      </c>
      <c r="C130" s="6" t="s">
        <v>12</v>
      </c>
      <c r="D130" s="6" t="s">
        <v>1048</v>
      </c>
      <c r="E130" s="6" t="s">
        <v>14</v>
      </c>
      <c r="F130" s="6" t="n">
        <v>774.726599975</v>
      </c>
      <c r="G130" s="6" t="n">
        <v>774.727</v>
      </c>
      <c r="H130" s="6" t="s">
        <v>792</v>
      </c>
      <c r="I130" s="0" t="n">
        <v>0.4</v>
      </c>
      <c r="J130" s="0" t="n">
        <f aca="false">CONVERT(G130,"m^2","ha")</f>
        <v>0.0774727</v>
      </c>
      <c r="K130" s="0" t="b">
        <f aca="false">IF(J130&gt;(I130*2),((ROUNDDOWN(J130/I130,0))-1))</f>
        <v>0</v>
      </c>
    </row>
    <row r="131" customFormat="false" ht="12.75" hidden="false" customHeight="false" outlineLevel="0" collapsed="false">
      <c r="A131" s="5" t="n">
        <v>155</v>
      </c>
      <c r="B131" s="6" t="s">
        <v>1049</v>
      </c>
      <c r="C131" s="6" t="s">
        <v>12</v>
      </c>
      <c r="D131" s="6" t="s">
        <v>1050</v>
      </c>
      <c r="E131" s="6" t="s">
        <v>14</v>
      </c>
      <c r="F131" s="6" t="n">
        <v>2200.103151805</v>
      </c>
      <c r="G131" s="6" t="n">
        <v>2200.103</v>
      </c>
      <c r="H131" s="6" t="s">
        <v>792</v>
      </c>
      <c r="I131" s="0" t="n">
        <v>0.4</v>
      </c>
      <c r="J131" s="0" t="n">
        <f aca="false">CONVERT(G131,"m^2","ha")</f>
        <v>0.2200103</v>
      </c>
      <c r="K131" s="0" t="b">
        <f aca="false">IF(J131&gt;(I131*2),((ROUNDDOWN(J131/I131,0))-1))</f>
        <v>0</v>
      </c>
    </row>
    <row r="132" customFormat="false" ht="12.75" hidden="false" customHeight="false" outlineLevel="0" collapsed="false">
      <c r="A132" s="5" t="n">
        <v>156</v>
      </c>
      <c r="B132" s="6" t="s">
        <v>1051</v>
      </c>
      <c r="C132" s="6" t="s">
        <v>12</v>
      </c>
      <c r="D132" s="6" t="s">
        <v>1052</v>
      </c>
      <c r="E132" s="6" t="s">
        <v>14</v>
      </c>
      <c r="F132" s="6" t="n">
        <v>18048.06797059</v>
      </c>
      <c r="G132" s="6" t="n">
        <v>18048.068</v>
      </c>
      <c r="H132" s="6" t="s">
        <v>792</v>
      </c>
      <c r="I132" s="0" t="n">
        <v>0.4</v>
      </c>
      <c r="J132" s="0" t="n">
        <f aca="false">CONVERT(G132,"m^2","ha")</f>
        <v>1.8048068</v>
      </c>
      <c r="K132" s="0" t="n">
        <f aca="false">IF(J132&gt;(I132*2),((ROUNDDOWN(J132/I132,0))-1))</f>
        <v>3</v>
      </c>
    </row>
    <row r="133" customFormat="false" ht="12.75" hidden="false" customHeight="false" outlineLevel="0" collapsed="false">
      <c r="A133" s="5" t="n">
        <v>157</v>
      </c>
      <c r="B133" s="6" t="s">
        <v>1053</v>
      </c>
      <c r="C133" s="6" t="s">
        <v>89</v>
      </c>
      <c r="D133" s="6" t="s">
        <v>1054</v>
      </c>
      <c r="E133" s="6" t="s">
        <v>14</v>
      </c>
      <c r="F133" s="6" t="n">
        <v>3779.20771146</v>
      </c>
      <c r="G133" s="6" t="n">
        <v>3779.208</v>
      </c>
      <c r="H133" s="6" t="s">
        <v>792</v>
      </c>
      <c r="I133" s="0" t="n">
        <v>0.4</v>
      </c>
      <c r="J133" s="0" t="n">
        <f aca="false">CONVERT(G133,"m^2","ha")</f>
        <v>0.3779208</v>
      </c>
      <c r="K133" s="0" t="b">
        <f aca="false">IF(J133&gt;(I133*2),((ROUNDDOWN(J133/I133,0))-1))</f>
        <v>0</v>
      </c>
    </row>
    <row r="134" customFormat="false" ht="12.75" hidden="false" customHeight="false" outlineLevel="0" collapsed="false">
      <c r="A134" s="5" t="n">
        <v>158</v>
      </c>
      <c r="B134" s="6" t="s">
        <v>1055</v>
      </c>
      <c r="C134" s="6" t="s">
        <v>12</v>
      </c>
      <c r="D134" s="6" t="s">
        <v>1056</v>
      </c>
      <c r="E134" s="6" t="s">
        <v>14</v>
      </c>
      <c r="F134" s="6" t="n">
        <v>1437.64982682</v>
      </c>
      <c r="G134" s="6" t="n">
        <v>1437.65</v>
      </c>
      <c r="H134" s="6" t="s">
        <v>792</v>
      </c>
      <c r="I134" s="0" t="n">
        <v>0.4</v>
      </c>
      <c r="J134" s="0" t="n">
        <f aca="false">CONVERT(G134,"m^2","ha")</f>
        <v>0.143765</v>
      </c>
      <c r="K134" s="0" t="b">
        <f aca="false">IF(J134&gt;(I134*2),((ROUNDDOWN(J134/I134,0))-1))</f>
        <v>0</v>
      </c>
    </row>
    <row r="135" customFormat="false" ht="12.75" hidden="false" customHeight="false" outlineLevel="0" collapsed="false">
      <c r="A135" s="5" t="n">
        <v>159</v>
      </c>
      <c r="B135" s="6" t="s">
        <v>1057</v>
      </c>
      <c r="C135" s="6" t="s">
        <v>12</v>
      </c>
      <c r="D135" s="6" t="s">
        <v>1058</v>
      </c>
      <c r="E135" s="6" t="s">
        <v>14</v>
      </c>
      <c r="F135" s="6" t="n">
        <v>945.41721757</v>
      </c>
      <c r="G135" s="6" t="n">
        <v>945.417</v>
      </c>
      <c r="H135" s="6" t="s">
        <v>792</v>
      </c>
      <c r="I135" s="0" t="n">
        <v>0.4</v>
      </c>
      <c r="J135" s="0" t="n">
        <f aca="false">CONVERT(G135,"m^2","ha")</f>
        <v>0.0945417</v>
      </c>
      <c r="K135" s="0" t="b">
        <f aca="false">IF(J135&gt;(I135*2),((ROUNDDOWN(J135/I135,0))-1))</f>
        <v>0</v>
      </c>
    </row>
    <row r="136" customFormat="false" ht="12.75" hidden="false" customHeight="false" outlineLevel="0" collapsed="false">
      <c r="A136" s="5" t="n">
        <v>160</v>
      </c>
      <c r="B136" s="6" t="s">
        <v>1059</v>
      </c>
      <c r="C136" s="6" t="s">
        <v>12</v>
      </c>
      <c r="D136" s="6" t="s">
        <v>1060</v>
      </c>
      <c r="E136" s="6" t="s">
        <v>14</v>
      </c>
      <c r="F136" s="6" t="n">
        <v>3762.23545794</v>
      </c>
      <c r="G136" s="6" t="n">
        <v>3762.235</v>
      </c>
      <c r="H136" s="6" t="s">
        <v>792</v>
      </c>
      <c r="I136" s="0" t="n">
        <v>0.4</v>
      </c>
      <c r="J136" s="0" t="n">
        <f aca="false">CONVERT(G136,"m^2","ha")</f>
        <v>0.3762235</v>
      </c>
      <c r="K136" s="0" t="b">
        <f aca="false">IF(J136&gt;(I136*2),((ROUNDDOWN(J136/I136,0))-1))</f>
        <v>0</v>
      </c>
    </row>
    <row r="137" customFormat="false" ht="12.75" hidden="false" customHeight="false" outlineLevel="0" collapsed="false">
      <c r="A137" s="5" t="n">
        <v>161</v>
      </c>
      <c r="B137" s="6" t="s">
        <v>1061</v>
      </c>
      <c r="C137" s="6" t="s">
        <v>89</v>
      </c>
      <c r="D137" s="6" t="s">
        <v>1062</v>
      </c>
      <c r="E137" s="6" t="s">
        <v>14</v>
      </c>
      <c r="F137" s="6" t="n">
        <v>2779.74505389</v>
      </c>
      <c r="G137" s="6" t="n">
        <v>2779.745</v>
      </c>
      <c r="H137" s="6" t="s">
        <v>792</v>
      </c>
      <c r="I137" s="0" t="n">
        <v>0.4</v>
      </c>
      <c r="J137" s="0" t="n">
        <f aca="false">CONVERT(G137,"m^2","ha")</f>
        <v>0.2779745</v>
      </c>
      <c r="K137" s="0" t="b">
        <f aca="false">IF(J137&gt;(I137*2),((ROUNDDOWN(J137/I137,0))-1))</f>
        <v>0</v>
      </c>
    </row>
    <row r="138" customFormat="false" ht="12.75" hidden="false" customHeight="false" outlineLevel="0" collapsed="false">
      <c r="A138" s="5" t="n">
        <v>162</v>
      </c>
      <c r="B138" s="6" t="s">
        <v>1063</v>
      </c>
      <c r="C138" s="6" t="s">
        <v>12</v>
      </c>
      <c r="D138" s="6" t="s">
        <v>1064</v>
      </c>
      <c r="E138" s="6" t="s">
        <v>14</v>
      </c>
      <c r="F138" s="6" t="n">
        <v>1723.88988329</v>
      </c>
      <c r="G138" s="6" t="n">
        <v>1723.89</v>
      </c>
      <c r="H138" s="6" t="s">
        <v>792</v>
      </c>
      <c r="I138" s="0" t="n">
        <v>0.4</v>
      </c>
      <c r="J138" s="0" t="n">
        <f aca="false">CONVERT(G138,"m^2","ha")</f>
        <v>0.172389</v>
      </c>
      <c r="K138" s="0" t="b">
        <f aca="false">IF(J138&gt;(I138*2),((ROUNDDOWN(J138/I138,0))-1))</f>
        <v>0</v>
      </c>
    </row>
    <row r="139" customFormat="false" ht="12.75" hidden="false" customHeight="false" outlineLevel="0" collapsed="false">
      <c r="A139" s="5" t="n">
        <v>163</v>
      </c>
      <c r="B139" s="6" t="s">
        <v>1065</v>
      </c>
      <c r="C139" s="6" t="s">
        <v>12</v>
      </c>
      <c r="D139" s="6" t="s">
        <v>1066</v>
      </c>
      <c r="E139" s="6" t="s">
        <v>14</v>
      </c>
      <c r="F139" s="6" t="n">
        <v>10950.885210685</v>
      </c>
      <c r="G139" s="6" t="n">
        <v>10952.997</v>
      </c>
      <c r="H139" s="6" t="s">
        <v>792</v>
      </c>
      <c r="I139" s="0" t="n">
        <v>0.4</v>
      </c>
      <c r="J139" s="0" t="n">
        <f aca="false">CONVERT(G139,"m^2","ha")</f>
        <v>1.0952997</v>
      </c>
      <c r="K139" s="0" t="n">
        <f aca="false">IF(J139&gt;(I139*2),((ROUNDDOWN(J139/I139,0))-1))</f>
        <v>1</v>
      </c>
    </row>
    <row r="140" customFormat="false" ht="12.75" hidden="false" customHeight="false" outlineLevel="0" collapsed="false">
      <c r="A140" s="5" t="n">
        <v>165</v>
      </c>
      <c r="B140" s="6" t="s">
        <v>1067</v>
      </c>
      <c r="C140" s="6" t="s">
        <v>12</v>
      </c>
      <c r="D140" s="6" t="s">
        <v>1068</v>
      </c>
      <c r="E140" s="6" t="s">
        <v>14</v>
      </c>
      <c r="F140" s="6" t="n">
        <v>2437.557280925</v>
      </c>
      <c r="G140" s="6" t="n">
        <v>2437.557</v>
      </c>
      <c r="H140" s="6" t="s">
        <v>792</v>
      </c>
      <c r="I140" s="0" t="n">
        <v>0.4</v>
      </c>
      <c r="J140" s="0" t="n">
        <f aca="false">CONVERT(G140,"m^2","ha")</f>
        <v>0.2437557</v>
      </c>
      <c r="K140" s="0" t="b">
        <f aca="false">IF(J140&gt;(I140*2),((ROUNDDOWN(J140/I140,0))-1))</f>
        <v>0</v>
      </c>
    </row>
    <row r="141" customFormat="false" ht="12.75" hidden="false" customHeight="false" outlineLevel="0" collapsed="false">
      <c r="A141" s="5" t="n">
        <v>166</v>
      </c>
      <c r="B141" s="6" t="s">
        <v>1069</v>
      </c>
      <c r="C141" s="6" t="s">
        <v>12</v>
      </c>
      <c r="D141" s="6" t="s">
        <v>1070</v>
      </c>
      <c r="E141" s="6" t="s">
        <v>14</v>
      </c>
      <c r="F141" s="6" t="n">
        <v>2628.642124195</v>
      </c>
      <c r="G141" s="6" t="n">
        <v>2628.642</v>
      </c>
      <c r="H141" s="6" t="s">
        <v>792</v>
      </c>
      <c r="I141" s="0" t="n">
        <v>0.4</v>
      </c>
      <c r="J141" s="0" t="n">
        <f aca="false">CONVERT(G141,"m^2","ha")</f>
        <v>0.2628642</v>
      </c>
      <c r="K141" s="0" t="b">
        <f aca="false">IF(J141&gt;(I141*2),((ROUNDDOWN(J141/I141,0))-1))</f>
        <v>0</v>
      </c>
    </row>
    <row r="142" customFormat="false" ht="12.75" hidden="false" customHeight="false" outlineLevel="0" collapsed="false">
      <c r="A142" s="5" t="n">
        <v>167</v>
      </c>
      <c r="B142" s="6" t="s">
        <v>1071</v>
      </c>
      <c r="C142" s="6" t="s">
        <v>12</v>
      </c>
      <c r="D142" s="6" t="s">
        <v>1072</v>
      </c>
      <c r="E142" s="6" t="s">
        <v>14</v>
      </c>
      <c r="F142" s="6" t="n">
        <v>2014.7575326</v>
      </c>
      <c r="G142" s="6" t="n">
        <v>2014.758</v>
      </c>
      <c r="H142" s="6" t="s">
        <v>792</v>
      </c>
      <c r="I142" s="0" t="n">
        <v>0.4</v>
      </c>
      <c r="J142" s="0" t="n">
        <f aca="false">CONVERT(G142,"m^2","ha")</f>
        <v>0.2014758</v>
      </c>
      <c r="K142" s="0" t="b">
        <f aca="false">IF(J142&gt;(I142*2),((ROUNDDOWN(J142/I142,0))-1))</f>
        <v>0</v>
      </c>
    </row>
    <row r="143" customFormat="false" ht="12.75" hidden="false" customHeight="false" outlineLevel="0" collapsed="false">
      <c r="A143" s="5" t="n">
        <v>169</v>
      </c>
      <c r="B143" s="6" t="s">
        <v>1073</v>
      </c>
      <c r="C143" s="6" t="s">
        <v>89</v>
      </c>
      <c r="D143" s="6" t="s">
        <v>1074</v>
      </c>
      <c r="E143" s="6" t="s">
        <v>14</v>
      </c>
      <c r="F143" s="6" t="n">
        <v>2178.19652636</v>
      </c>
      <c r="G143" s="6" t="n">
        <v>2178.197</v>
      </c>
      <c r="H143" s="6" t="s">
        <v>792</v>
      </c>
      <c r="I143" s="0" t="n">
        <v>0.4</v>
      </c>
      <c r="J143" s="0" t="n">
        <f aca="false">CONVERT(G143,"m^2","ha")</f>
        <v>0.2178197</v>
      </c>
      <c r="K143" s="0" t="b">
        <f aca="false">IF(J143&gt;(I143*2),((ROUNDDOWN(J143/I143,0))-1))</f>
        <v>0</v>
      </c>
    </row>
    <row r="144" customFormat="false" ht="12.75" hidden="false" customHeight="false" outlineLevel="0" collapsed="false">
      <c r="A144" s="5" t="n">
        <v>170</v>
      </c>
      <c r="B144" s="6" t="s">
        <v>1075</v>
      </c>
      <c r="C144" s="6" t="s">
        <v>12</v>
      </c>
      <c r="D144" s="6" t="s">
        <v>1076</v>
      </c>
      <c r="E144" s="6" t="s">
        <v>14</v>
      </c>
      <c r="F144" s="6" t="n">
        <v>951.366424455</v>
      </c>
      <c r="G144" s="6" t="n">
        <v>951.366</v>
      </c>
      <c r="H144" s="6" t="s">
        <v>792</v>
      </c>
      <c r="I144" s="0" t="n">
        <v>0.4</v>
      </c>
      <c r="J144" s="0" t="n">
        <f aca="false">CONVERT(G144,"m^2","ha")</f>
        <v>0.0951366</v>
      </c>
      <c r="K144" s="0" t="b">
        <f aca="false">IF(J144&gt;(I144*2),((ROUNDDOWN(J144/I144,0))-1))</f>
        <v>0</v>
      </c>
    </row>
    <row r="145" customFormat="false" ht="12.75" hidden="false" customHeight="false" outlineLevel="0" collapsed="false">
      <c r="A145" s="5" t="n">
        <v>171</v>
      </c>
      <c r="B145" s="6" t="s">
        <v>1077</v>
      </c>
      <c r="C145" s="6" t="s">
        <v>12</v>
      </c>
      <c r="D145" s="6" t="s">
        <v>1078</v>
      </c>
      <c r="E145" s="6" t="s">
        <v>14</v>
      </c>
      <c r="F145" s="6" t="n">
        <v>1441.06679378</v>
      </c>
      <c r="G145" s="6" t="n">
        <v>1441.067</v>
      </c>
      <c r="H145" s="6" t="s">
        <v>792</v>
      </c>
      <c r="I145" s="0" t="n">
        <v>0.4</v>
      </c>
      <c r="J145" s="0" t="n">
        <f aca="false">CONVERT(G145,"m^2","ha")</f>
        <v>0.1441067</v>
      </c>
      <c r="K145" s="0" t="b">
        <f aca="false">IF(J145&gt;(I145*2),((ROUNDDOWN(J145/I145,0))-1))</f>
        <v>0</v>
      </c>
    </row>
    <row r="146" customFormat="false" ht="12.75" hidden="false" customHeight="false" outlineLevel="0" collapsed="false">
      <c r="A146" s="5" t="n">
        <v>172</v>
      </c>
      <c r="B146" s="6" t="s">
        <v>1079</v>
      </c>
      <c r="C146" s="6" t="s">
        <v>12</v>
      </c>
      <c r="D146" s="6" t="s">
        <v>1080</v>
      </c>
      <c r="E146" s="6" t="s">
        <v>14</v>
      </c>
      <c r="F146" s="6" t="n">
        <v>12069.003101475</v>
      </c>
      <c r="G146" s="6" t="n">
        <v>12069.003</v>
      </c>
      <c r="H146" s="6" t="s">
        <v>792</v>
      </c>
      <c r="I146" s="0" t="n">
        <v>0.4</v>
      </c>
      <c r="J146" s="0" t="n">
        <f aca="false">CONVERT(G146,"m^2","ha")</f>
        <v>1.2069003</v>
      </c>
      <c r="K146" s="0" t="n">
        <f aca="false">IF(J146&gt;(I146*2),((ROUNDDOWN(J146/I146,0))-1))</f>
        <v>2</v>
      </c>
    </row>
    <row r="147" customFormat="false" ht="12.75" hidden="false" customHeight="false" outlineLevel="0" collapsed="false">
      <c r="A147" s="5" t="n">
        <v>173</v>
      </c>
      <c r="B147" s="6" t="s">
        <v>1081</v>
      </c>
      <c r="C147" s="6" t="s">
        <v>12</v>
      </c>
      <c r="D147" s="6" t="s">
        <v>1082</v>
      </c>
      <c r="E147" s="6" t="s">
        <v>14</v>
      </c>
      <c r="F147" s="6" t="n">
        <v>2383.204253025</v>
      </c>
      <c r="G147" s="6" t="n">
        <v>2383.204</v>
      </c>
      <c r="H147" s="6" t="s">
        <v>792</v>
      </c>
      <c r="I147" s="0" t="n">
        <v>0.4</v>
      </c>
      <c r="J147" s="0" t="n">
        <f aca="false">CONVERT(G147,"m^2","ha")</f>
        <v>0.2383204</v>
      </c>
      <c r="K147" s="0" t="b">
        <f aca="false">IF(J147&gt;(I147*2),((ROUNDDOWN(J147/I147,0))-1))</f>
        <v>0</v>
      </c>
    </row>
    <row r="148" customFormat="false" ht="12.75" hidden="false" customHeight="false" outlineLevel="0" collapsed="false">
      <c r="A148" s="5" t="n">
        <v>174</v>
      </c>
      <c r="B148" s="6" t="s">
        <v>1083</v>
      </c>
      <c r="C148" s="6" t="s">
        <v>12</v>
      </c>
      <c r="D148" s="6" t="s">
        <v>1084</v>
      </c>
      <c r="E148" s="6" t="s">
        <v>14</v>
      </c>
      <c r="F148" s="6" t="n">
        <v>1650.22013105</v>
      </c>
      <c r="G148" s="6" t="n">
        <v>1650.22</v>
      </c>
      <c r="H148" s="6" t="s">
        <v>792</v>
      </c>
      <c r="I148" s="0" t="n">
        <v>0.4</v>
      </c>
      <c r="J148" s="0" t="n">
        <f aca="false">CONVERT(G148,"m^2","ha")</f>
        <v>0.165022</v>
      </c>
      <c r="K148" s="0" t="b">
        <f aca="false">IF(J148&gt;(I148*2),((ROUNDDOWN(J148/I148,0))-1))</f>
        <v>0</v>
      </c>
    </row>
    <row r="149" customFormat="false" ht="12.75" hidden="false" customHeight="false" outlineLevel="0" collapsed="false">
      <c r="A149" s="5" t="n">
        <v>175</v>
      </c>
      <c r="B149" s="6" t="s">
        <v>1085</v>
      </c>
      <c r="C149" s="6" t="s">
        <v>12</v>
      </c>
      <c r="D149" s="6" t="s">
        <v>1086</v>
      </c>
      <c r="E149" s="6" t="s">
        <v>14</v>
      </c>
      <c r="F149" s="6" t="n">
        <v>695.7371454</v>
      </c>
      <c r="G149" s="6" t="n">
        <v>695.737</v>
      </c>
      <c r="H149" s="6" t="s">
        <v>792</v>
      </c>
      <c r="I149" s="0" t="n">
        <v>0.4</v>
      </c>
      <c r="J149" s="0" t="n">
        <f aca="false">CONVERT(G149,"m^2","ha")</f>
        <v>0.0695737</v>
      </c>
      <c r="K149" s="0" t="b">
        <f aca="false">IF(J149&gt;(I149*2),((ROUNDDOWN(J149/I149,0))-1))</f>
        <v>0</v>
      </c>
    </row>
    <row r="150" customFormat="false" ht="12.75" hidden="false" customHeight="false" outlineLevel="0" collapsed="false">
      <c r="A150" s="5" t="n">
        <v>176</v>
      </c>
      <c r="B150" s="6" t="s">
        <v>1087</v>
      </c>
      <c r="C150" s="6" t="s">
        <v>12</v>
      </c>
      <c r="D150" s="6" t="s">
        <v>1088</v>
      </c>
      <c r="E150" s="6" t="s">
        <v>14</v>
      </c>
      <c r="F150" s="6" t="n">
        <v>14530.927199865</v>
      </c>
      <c r="G150" s="6" t="n">
        <v>14530.927</v>
      </c>
      <c r="H150" s="6" t="s">
        <v>792</v>
      </c>
      <c r="I150" s="0" t="n">
        <v>0.4</v>
      </c>
      <c r="J150" s="0" t="n">
        <f aca="false">CONVERT(G150,"m^2","ha")</f>
        <v>1.4530927</v>
      </c>
      <c r="K150" s="0" t="n">
        <f aca="false">IF(J150&gt;(I150*2),((ROUNDDOWN(J150/I150,0))-1))</f>
        <v>2</v>
      </c>
    </row>
    <row r="151" customFormat="false" ht="12.75" hidden="false" customHeight="false" outlineLevel="0" collapsed="false">
      <c r="A151" s="5" t="n">
        <v>180</v>
      </c>
      <c r="B151" s="6" t="s">
        <v>1089</v>
      </c>
      <c r="C151" s="6" t="s">
        <v>89</v>
      </c>
      <c r="D151" s="6" t="s">
        <v>1090</v>
      </c>
      <c r="E151" s="6" t="s">
        <v>14</v>
      </c>
      <c r="F151" s="6" t="n">
        <v>2978.786898625</v>
      </c>
      <c r="G151" s="6" t="n">
        <v>2978.787</v>
      </c>
      <c r="H151" s="6" t="s">
        <v>792</v>
      </c>
      <c r="I151" s="0" t="n">
        <v>0.4</v>
      </c>
      <c r="J151" s="0" t="n">
        <f aca="false">CONVERT(G151,"m^2","ha")</f>
        <v>0.2978787</v>
      </c>
      <c r="K151" s="0" t="b">
        <f aca="false">IF(J151&gt;(I151*2),((ROUNDDOWN(J151/I151,0))-1))</f>
        <v>0</v>
      </c>
    </row>
    <row r="152" customFormat="false" ht="12.75" hidden="false" customHeight="false" outlineLevel="0" collapsed="false">
      <c r="A152" s="5" t="n">
        <v>181</v>
      </c>
      <c r="B152" s="6" t="s">
        <v>1091</v>
      </c>
      <c r="C152" s="6" t="s">
        <v>89</v>
      </c>
      <c r="D152" s="6" t="s">
        <v>1092</v>
      </c>
      <c r="E152" s="6" t="s">
        <v>14</v>
      </c>
      <c r="F152" s="6" t="n">
        <v>1284.498419135</v>
      </c>
      <c r="G152" s="6" t="n">
        <v>1284.498</v>
      </c>
      <c r="H152" s="6" t="s">
        <v>792</v>
      </c>
      <c r="I152" s="0" t="n">
        <v>0.4</v>
      </c>
      <c r="J152" s="0" t="n">
        <f aca="false">CONVERT(G152,"m^2","ha")</f>
        <v>0.1284498</v>
      </c>
      <c r="K152" s="0" t="b">
        <f aca="false">IF(J152&gt;(I152*2),((ROUNDDOWN(J152/I152,0))-1))</f>
        <v>0</v>
      </c>
    </row>
    <row r="153" customFormat="false" ht="12.75" hidden="false" customHeight="false" outlineLevel="0" collapsed="false">
      <c r="A153" s="5" t="n">
        <v>182</v>
      </c>
      <c r="B153" s="6" t="s">
        <v>1093</v>
      </c>
      <c r="C153" s="6" t="s">
        <v>12</v>
      </c>
      <c r="D153" s="6" t="s">
        <v>1094</v>
      </c>
      <c r="E153" s="6" t="s">
        <v>14</v>
      </c>
      <c r="F153" s="6" t="n">
        <v>4210.5441412</v>
      </c>
      <c r="G153" s="6" t="n">
        <v>4210.544</v>
      </c>
      <c r="H153" s="6" t="s">
        <v>792</v>
      </c>
      <c r="I153" s="0" t="n">
        <v>0.4</v>
      </c>
      <c r="J153" s="0" t="n">
        <f aca="false">CONVERT(G153,"m^2","ha")</f>
        <v>0.4210544</v>
      </c>
      <c r="K153" s="0" t="b">
        <f aca="false">IF(J153&gt;(I153*2),((ROUNDDOWN(J153/I153,0))-1))</f>
        <v>0</v>
      </c>
    </row>
    <row r="154" customFormat="false" ht="12.75" hidden="false" customHeight="false" outlineLevel="0" collapsed="false">
      <c r="A154" s="5" t="n">
        <v>183</v>
      </c>
      <c r="B154" s="6" t="s">
        <v>1095</v>
      </c>
      <c r="C154" s="6" t="s">
        <v>12</v>
      </c>
      <c r="D154" s="6" t="s">
        <v>1096</v>
      </c>
      <c r="E154" s="6" t="s">
        <v>14</v>
      </c>
      <c r="F154" s="6" t="n">
        <v>4050.42051978</v>
      </c>
      <c r="G154" s="6" t="n">
        <v>4049.662</v>
      </c>
      <c r="H154" s="6" t="s">
        <v>792</v>
      </c>
      <c r="I154" s="0" t="n">
        <v>0.4</v>
      </c>
      <c r="J154" s="0" t="n">
        <f aca="false">CONVERT(G154,"m^2","ha")</f>
        <v>0.4049662</v>
      </c>
      <c r="K154" s="0" t="b">
        <f aca="false">IF(J154&gt;(I154*2),((ROUNDDOWN(J154/I154,0))-1))</f>
        <v>0</v>
      </c>
    </row>
    <row r="155" customFormat="false" ht="12.75" hidden="false" customHeight="false" outlineLevel="0" collapsed="false">
      <c r="A155" s="5" t="n">
        <v>184</v>
      </c>
      <c r="B155" s="6" t="s">
        <v>1097</v>
      </c>
      <c r="C155" s="6" t="s">
        <v>12</v>
      </c>
      <c r="D155" s="6" t="s">
        <v>1098</v>
      </c>
      <c r="E155" s="6" t="s">
        <v>14</v>
      </c>
      <c r="F155" s="6" t="n">
        <v>1212.94083864</v>
      </c>
      <c r="G155" s="6" t="n">
        <v>1212.941</v>
      </c>
      <c r="H155" s="6" t="s">
        <v>792</v>
      </c>
      <c r="I155" s="0" t="n">
        <v>0.4</v>
      </c>
      <c r="J155" s="0" t="n">
        <f aca="false">CONVERT(G155,"m^2","ha")</f>
        <v>0.1212941</v>
      </c>
      <c r="K155" s="0" t="b">
        <f aca="false">IF(J155&gt;(I155*2),((ROUNDDOWN(J155/I155,0))-1))</f>
        <v>0</v>
      </c>
    </row>
    <row r="156" customFormat="false" ht="12.75" hidden="false" customHeight="false" outlineLevel="0" collapsed="false">
      <c r="A156" s="5" t="n">
        <v>185</v>
      </c>
      <c r="B156" s="6" t="s">
        <v>1099</v>
      </c>
      <c r="C156" s="6" t="s">
        <v>12</v>
      </c>
      <c r="D156" s="6" t="s">
        <v>1100</v>
      </c>
      <c r="E156" s="6" t="s">
        <v>14</v>
      </c>
      <c r="F156" s="6" t="n">
        <v>1834.203201995</v>
      </c>
      <c r="G156" s="6" t="n">
        <v>1834.203</v>
      </c>
      <c r="H156" s="6" t="s">
        <v>792</v>
      </c>
      <c r="I156" s="0" t="n">
        <v>0.4</v>
      </c>
      <c r="J156" s="0" t="n">
        <f aca="false">CONVERT(G156,"m^2","ha")</f>
        <v>0.1834203</v>
      </c>
      <c r="K156" s="0" t="b">
        <f aca="false">IF(J156&gt;(I156*2),((ROUNDDOWN(J156/I156,0))-1))</f>
        <v>0</v>
      </c>
    </row>
    <row r="157" customFormat="false" ht="12.75" hidden="false" customHeight="false" outlineLevel="0" collapsed="false">
      <c r="A157" s="5" t="n">
        <v>186</v>
      </c>
      <c r="B157" s="6" t="s">
        <v>1101</v>
      </c>
      <c r="C157" s="6" t="s">
        <v>89</v>
      </c>
      <c r="D157" s="6" t="s">
        <v>1102</v>
      </c>
      <c r="E157" s="6" t="s">
        <v>14</v>
      </c>
      <c r="F157" s="6" t="n">
        <v>3600.2428483</v>
      </c>
      <c r="G157" s="6" t="n">
        <v>3600.905</v>
      </c>
      <c r="H157" s="6" t="s">
        <v>792</v>
      </c>
      <c r="I157" s="0" t="n">
        <v>0.4</v>
      </c>
      <c r="J157" s="0" t="n">
        <f aca="false">CONVERT(G157,"m^2","ha")</f>
        <v>0.3600905</v>
      </c>
      <c r="K157" s="0" t="b">
        <f aca="false">IF(J157&gt;(I157*2),((ROUNDDOWN(J157/I157,0))-1))</f>
        <v>0</v>
      </c>
    </row>
    <row r="158" customFormat="false" ht="12.75" hidden="false" customHeight="false" outlineLevel="0" collapsed="false">
      <c r="A158" s="5" t="n">
        <v>187</v>
      </c>
      <c r="B158" s="6" t="s">
        <v>1103</v>
      </c>
      <c r="C158" s="6" t="s">
        <v>12</v>
      </c>
      <c r="D158" s="6" t="s">
        <v>1104</v>
      </c>
      <c r="E158" s="6" t="s">
        <v>14</v>
      </c>
      <c r="F158" s="6" t="n">
        <v>1045.918547515</v>
      </c>
      <c r="G158" s="6" t="n">
        <v>1045.919</v>
      </c>
      <c r="H158" s="6" t="s">
        <v>792</v>
      </c>
      <c r="I158" s="0" t="n">
        <v>0.4</v>
      </c>
      <c r="J158" s="0" t="n">
        <f aca="false">CONVERT(G158,"m^2","ha")</f>
        <v>0.1045919</v>
      </c>
      <c r="K158" s="0" t="b">
        <f aca="false">IF(J158&gt;(I158*2),((ROUNDDOWN(J158/I158,0))-1))</f>
        <v>0</v>
      </c>
    </row>
    <row r="159" customFormat="false" ht="12.75" hidden="false" customHeight="false" outlineLevel="0" collapsed="false">
      <c r="A159" s="5" t="n">
        <v>188</v>
      </c>
      <c r="B159" s="6" t="s">
        <v>1105</v>
      </c>
      <c r="C159" s="6" t="s">
        <v>12</v>
      </c>
      <c r="D159" s="6" t="s">
        <v>1106</v>
      </c>
      <c r="E159" s="6" t="s">
        <v>14</v>
      </c>
      <c r="F159" s="6" t="n">
        <v>1696.9838525</v>
      </c>
      <c r="G159" s="6" t="n">
        <v>1696.984</v>
      </c>
      <c r="H159" s="6" t="s">
        <v>792</v>
      </c>
      <c r="I159" s="0" t="n">
        <v>0.4</v>
      </c>
      <c r="J159" s="0" t="n">
        <f aca="false">CONVERT(G159,"m^2","ha")</f>
        <v>0.1696984</v>
      </c>
      <c r="K159" s="0" t="b">
        <f aca="false">IF(J159&gt;(I159*2),((ROUNDDOWN(J159/I159,0))-1))</f>
        <v>0</v>
      </c>
    </row>
    <row r="160" customFormat="false" ht="12.75" hidden="false" customHeight="false" outlineLevel="0" collapsed="false">
      <c r="A160" s="5" t="n">
        <v>189</v>
      </c>
      <c r="B160" s="6" t="s">
        <v>1107</v>
      </c>
      <c r="C160" s="6" t="s">
        <v>12</v>
      </c>
      <c r="D160" s="6" t="s">
        <v>1108</v>
      </c>
      <c r="E160" s="6" t="s">
        <v>14</v>
      </c>
      <c r="F160" s="6" t="n">
        <v>1800.7930418</v>
      </c>
      <c r="G160" s="6" t="n">
        <v>1800.793</v>
      </c>
      <c r="H160" s="6" t="s">
        <v>792</v>
      </c>
      <c r="I160" s="0" t="n">
        <v>0.4</v>
      </c>
      <c r="J160" s="0" t="n">
        <f aca="false">CONVERT(G160,"m^2","ha")</f>
        <v>0.1800793</v>
      </c>
      <c r="K160" s="0" t="b">
        <f aca="false">IF(J160&gt;(I160*2),((ROUNDDOWN(J160/I160,0))-1))</f>
        <v>0</v>
      </c>
    </row>
    <row r="161" customFormat="false" ht="12.75" hidden="false" customHeight="false" outlineLevel="0" collapsed="false">
      <c r="A161" s="5" t="n">
        <v>190</v>
      </c>
      <c r="B161" s="6" t="s">
        <v>1109</v>
      </c>
      <c r="C161" s="6" t="s">
        <v>12</v>
      </c>
      <c r="D161" s="6" t="s">
        <v>1110</v>
      </c>
      <c r="E161" s="6" t="s">
        <v>14</v>
      </c>
      <c r="F161" s="6" t="n">
        <v>1133.07206609</v>
      </c>
      <c r="G161" s="6" t="n">
        <v>1133.072</v>
      </c>
      <c r="H161" s="6" t="s">
        <v>792</v>
      </c>
      <c r="I161" s="0" t="n">
        <v>0.4</v>
      </c>
      <c r="J161" s="0" t="n">
        <f aca="false">CONVERT(G161,"m^2","ha")</f>
        <v>0.1133072</v>
      </c>
      <c r="K161" s="0" t="b">
        <f aca="false">IF(J161&gt;(I161*2),((ROUNDDOWN(J161/I161,0))-1))</f>
        <v>0</v>
      </c>
    </row>
    <row r="162" customFormat="false" ht="12.75" hidden="false" customHeight="false" outlineLevel="0" collapsed="false">
      <c r="A162" s="5" t="n">
        <v>191</v>
      </c>
      <c r="B162" s="6" t="s">
        <v>1111</v>
      </c>
      <c r="C162" s="6" t="s">
        <v>12</v>
      </c>
      <c r="D162" s="6" t="s">
        <v>1112</v>
      </c>
      <c r="E162" s="6" t="s">
        <v>14</v>
      </c>
      <c r="F162" s="6" t="n">
        <v>1691.684140525</v>
      </c>
      <c r="G162" s="6" t="n">
        <v>1691.684</v>
      </c>
      <c r="H162" s="6" t="s">
        <v>792</v>
      </c>
      <c r="I162" s="0" t="n">
        <v>0.4</v>
      </c>
      <c r="J162" s="0" t="n">
        <f aca="false">CONVERT(G162,"m^2","ha")</f>
        <v>0.1691684</v>
      </c>
      <c r="K162" s="0" t="b">
        <f aca="false">IF(J162&gt;(I162*2),((ROUNDDOWN(J162/I162,0))-1))</f>
        <v>0</v>
      </c>
    </row>
    <row r="163" customFormat="false" ht="12.75" hidden="false" customHeight="false" outlineLevel="0" collapsed="false">
      <c r="A163" s="5" t="n">
        <v>192</v>
      </c>
      <c r="B163" s="6" t="s">
        <v>1113</v>
      </c>
      <c r="C163" s="6" t="s">
        <v>12</v>
      </c>
      <c r="D163" s="6" t="s">
        <v>1114</v>
      </c>
      <c r="E163" s="6" t="s">
        <v>14</v>
      </c>
      <c r="F163" s="6" t="n">
        <v>877.54914863</v>
      </c>
      <c r="G163" s="6" t="n">
        <v>877.549</v>
      </c>
      <c r="H163" s="6" t="s">
        <v>792</v>
      </c>
      <c r="I163" s="0" t="n">
        <v>0.4</v>
      </c>
      <c r="J163" s="0" t="n">
        <f aca="false">CONVERT(G163,"m^2","ha")</f>
        <v>0.0877549</v>
      </c>
      <c r="K163" s="0" t="b">
        <f aca="false">IF(J163&gt;(I163*2),((ROUNDDOWN(J163/I163,0))-1))</f>
        <v>0</v>
      </c>
    </row>
    <row r="164" customFormat="false" ht="12.75" hidden="false" customHeight="false" outlineLevel="0" collapsed="false">
      <c r="A164" s="5" t="n">
        <v>193</v>
      </c>
      <c r="B164" s="6" t="s">
        <v>1115</v>
      </c>
      <c r="C164" s="6" t="s">
        <v>89</v>
      </c>
      <c r="D164" s="6" t="s">
        <v>1116</v>
      </c>
      <c r="E164" s="6" t="s">
        <v>14</v>
      </c>
      <c r="F164" s="6" t="n">
        <v>2860.84431146</v>
      </c>
      <c r="G164" s="6" t="n">
        <v>2860.14</v>
      </c>
      <c r="H164" s="6" t="s">
        <v>792</v>
      </c>
      <c r="I164" s="0" t="n">
        <v>0.4</v>
      </c>
      <c r="J164" s="0" t="n">
        <f aca="false">CONVERT(G164,"m^2","ha")</f>
        <v>0.286014</v>
      </c>
      <c r="K164" s="0" t="b">
        <f aca="false">IF(J164&gt;(I164*2),((ROUNDDOWN(J164/I164,0))-1))</f>
        <v>0</v>
      </c>
    </row>
    <row r="165" customFormat="false" ht="12.75" hidden="false" customHeight="false" outlineLevel="0" collapsed="false">
      <c r="A165" s="5" t="n">
        <v>196</v>
      </c>
      <c r="B165" s="6" t="s">
        <v>1117</v>
      </c>
      <c r="C165" s="6" t="s">
        <v>89</v>
      </c>
      <c r="D165" s="6" t="s">
        <v>1118</v>
      </c>
      <c r="E165" s="6" t="s">
        <v>14</v>
      </c>
      <c r="F165" s="6" t="n">
        <v>2547.550903825</v>
      </c>
      <c r="G165" s="6" t="n">
        <v>2547.551</v>
      </c>
      <c r="H165" s="6" t="s">
        <v>792</v>
      </c>
      <c r="I165" s="0" t="n">
        <v>0.4</v>
      </c>
      <c r="J165" s="0" t="n">
        <f aca="false">CONVERT(G165,"m^2","ha")</f>
        <v>0.2547551</v>
      </c>
      <c r="K165" s="0" t="b">
        <f aca="false">IF(J165&gt;(I165*2),((ROUNDDOWN(J165/I165,0))-1))</f>
        <v>0</v>
      </c>
    </row>
    <row r="166" customFormat="false" ht="12.75" hidden="false" customHeight="false" outlineLevel="0" collapsed="false">
      <c r="A166" s="5" t="n">
        <v>197</v>
      </c>
      <c r="B166" s="6" t="s">
        <v>1119</v>
      </c>
      <c r="C166" s="6" t="s">
        <v>89</v>
      </c>
      <c r="D166" s="6" t="s">
        <v>1120</v>
      </c>
      <c r="E166" s="6" t="s">
        <v>14</v>
      </c>
      <c r="F166" s="6" t="n">
        <v>3085.54384144</v>
      </c>
      <c r="G166" s="6" t="n">
        <v>3085.544</v>
      </c>
      <c r="H166" s="6" t="s">
        <v>792</v>
      </c>
      <c r="I166" s="0" t="n">
        <v>0.4</v>
      </c>
      <c r="J166" s="0" t="n">
        <f aca="false">CONVERT(G166,"m^2","ha")</f>
        <v>0.3085544</v>
      </c>
      <c r="K166" s="0" t="b">
        <f aca="false">IF(J166&gt;(I166*2),((ROUNDDOWN(J166/I166,0))-1))</f>
        <v>0</v>
      </c>
    </row>
    <row r="167" customFormat="false" ht="12.75" hidden="false" customHeight="false" outlineLevel="0" collapsed="false">
      <c r="A167" s="5" t="n">
        <v>198</v>
      </c>
      <c r="B167" s="6" t="s">
        <v>1121</v>
      </c>
      <c r="C167" s="6" t="s">
        <v>12</v>
      </c>
      <c r="D167" s="6" t="s">
        <v>1122</v>
      </c>
      <c r="E167" s="6" t="s">
        <v>14</v>
      </c>
      <c r="F167" s="6" t="n">
        <v>3078.06689695</v>
      </c>
      <c r="G167" s="6" t="n">
        <v>3078.733</v>
      </c>
      <c r="H167" s="6" t="s">
        <v>792</v>
      </c>
      <c r="I167" s="0" t="n">
        <v>0.4</v>
      </c>
      <c r="J167" s="0" t="n">
        <f aca="false">CONVERT(G167,"m^2","ha")</f>
        <v>0.3078733</v>
      </c>
      <c r="K167" s="0" t="b">
        <f aca="false">IF(J167&gt;(I167*2),((ROUNDDOWN(J167/I167,0))-1))</f>
        <v>0</v>
      </c>
    </row>
    <row r="168" customFormat="false" ht="12.75" hidden="false" customHeight="false" outlineLevel="0" collapsed="false">
      <c r="A168" s="5" t="n">
        <v>199</v>
      </c>
      <c r="B168" s="6" t="s">
        <v>1123</v>
      </c>
      <c r="C168" s="6" t="s">
        <v>12</v>
      </c>
      <c r="D168" s="6" t="s">
        <v>1124</v>
      </c>
      <c r="E168" s="6" t="s">
        <v>14</v>
      </c>
      <c r="F168" s="6" t="n">
        <v>2293.889640005</v>
      </c>
      <c r="G168" s="6" t="n">
        <v>2293.89</v>
      </c>
      <c r="H168" s="6" t="s">
        <v>792</v>
      </c>
      <c r="I168" s="0" t="n">
        <v>0.4</v>
      </c>
      <c r="J168" s="0" t="n">
        <f aca="false">CONVERT(G168,"m^2","ha")</f>
        <v>0.229389</v>
      </c>
      <c r="K168" s="0" t="b">
        <f aca="false">IF(J168&gt;(I168*2),((ROUNDDOWN(J168/I168,0))-1))</f>
        <v>0</v>
      </c>
    </row>
    <row r="169" customFormat="false" ht="12.75" hidden="false" customHeight="false" outlineLevel="0" collapsed="false">
      <c r="A169" s="5" t="n">
        <v>200</v>
      </c>
      <c r="B169" s="6" t="s">
        <v>1125</v>
      </c>
      <c r="C169" s="6" t="s">
        <v>12</v>
      </c>
      <c r="D169" s="6" t="s">
        <v>1126</v>
      </c>
      <c r="E169" s="6" t="s">
        <v>14</v>
      </c>
      <c r="F169" s="6" t="n">
        <v>1019.41064768</v>
      </c>
      <c r="G169" s="6" t="n">
        <v>1019.411</v>
      </c>
      <c r="H169" s="6" t="s">
        <v>792</v>
      </c>
      <c r="I169" s="0" t="n">
        <v>0.4</v>
      </c>
      <c r="J169" s="0" t="n">
        <f aca="false">CONVERT(G169,"m^2","ha")</f>
        <v>0.1019411</v>
      </c>
      <c r="K169" s="0" t="b">
        <f aca="false">IF(J169&gt;(I169*2),((ROUNDDOWN(J169/I169,0))-1))</f>
        <v>0</v>
      </c>
    </row>
    <row r="170" customFormat="false" ht="12.75" hidden="false" customHeight="false" outlineLevel="0" collapsed="false">
      <c r="A170" s="5" t="n">
        <v>202</v>
      </c>
      <c r="B170" s="6" t="s">
        <v>1127</v>
      </c>
      <c r="C170" s="6" t="s">
        <v>12</v>
      </c>
      <c r="D170" s="6" t="s">
        <v>1128</v>
      </c>
      <c r="E170" s="6" t="s">
        <v>14</v>
      </c>
      <c r="F170" s="6" t="n">
        <v>3841.32143138</v>
      </c>
      <c r="G170" s="6" t="n">
        <v>3841.321</v>
      </c>
      <c r="H170" s="6" t="s">
        <v>792</v>
      </c>
      <c r="I170" s="0" t="n">
        <v>0.4</v>
      </c>
      <c r="J170" s="0" t="n">
        <f aca="false">CONVERT(G170,"m^2","ha")</f>
        <v>0.3841321</v>
      </c>
      <c r="K170" s="0" t="b">
        <f aca="false">IF(J170&gt;(I170*2),((ROUNDDOWN(J170/I170,0))-1))</f>
        <v>0</v>
      </c>
    </row>
    <row r="171" customFormat="false" ht="12.75" hidden="false" customHeight="false" outlineLevel="0" collapsed="false">
      <c r="A171" s="5" t="n">
        <v>203</v>
      </c>
      <c r="B171" s="6" t="s">
        <v>1129</v>
      </c>
      <c r="C171" s="6" t="s">
        <v>12</v>
      </c>
      <c r="D171" s="6" t="s">
        <v>1130</v>
      </c>
      <c r="E171" s="6" t="s">
        <v>14</v>
      </c>
      <c r="F171" s="6" t="n">
        <v>1333.59591484</v>
      </c>
      <c r="G171" s="6" t="n">
        <v>1333.596</v>
      </c>
      <c r="H171" s="6" t="s">
        <v>792</v>
      </c>
      <c r="I171" s="0" t="n">
        <v>0.4</v>
      </c>
      <c r="J171" s="0" t="n">
        <f aca="false">CONVERT(G171,"m^2","ha")</f>
        <v>0.1333596</v>
      </c>
      <c r="K171" s="0" t="b">
        <f aca="false">IF(J171&gt;(I171*2),((ROUNDDOWN(J171/I171,0))-1))</f>
        <v>0</v>
      </c>
    </row>
    <row r="172" customFormat="false" ht="12.75" hidden="false" customHeight="false" outlineLevel="0" collapsed="false">
      <c r="A172" s="5" t="n">
        <v>204</v>
      </c>
      <c r="B172" s="6" t="s">
        <v>1131</v>
      </c>
      <c r="C172" s="6" t="s">
        <v>12</v>
      </c>
      <c r="D172" s="6" t="s">
        <v>1132</v>
      </c>
      <c r="E172" s="6" t="s">
        <v>14</v>
      </c>
      <c r="F172" s="6" t="n">
        <v>1008.01171314</v>
      </c>
      <c r="G172" s="6" t="n">
        <v>1008.012</v>
      </c>
      <c r="H172" s="6" t="s">
        <v>792</v>
      </c>
      <c r="I172" s="0" t="n">
        <v>0.4</v>
      </c>
      <c r="J172" s="0" t="n">
        <f aca="false">CONVERT(G172,"m^2","ha")</f>
        <v>0.1008012</v>
      </c>
      <c r="K172" s="0" t="b">
        <f aca="false">IF(J172&gt;(I172*2),((ROUNDDOWN(J172/I172,0))-1))</f>
        <v>0</v>
      </c>
    </row>
    <row r="173" customFormat="false" ht="12.75" hidden="false" customHeight="false" outlineLevel="0" collapsed="false">
      <c r="A173" s="5" t="n">
        <v>205</v>
      </c>
      <c r="B173" s="6" t="s">
        <v>1133</v>
      </c>
      <c r="C173" s="6" t="s">
        <v>12</v>
      </c>
      <c r="D173" s="6" t="s">
        <v>1134</v>
      </c>
      <c r="E173" s="6" t="s">
        <v>14</v>
      </c>
      <c r="F173" s="6" t="n">
        <v>1105.649164635</v>
      </c>
      <c r="G173" s="6" t="n">
        <v>1105.649</v>
      </c>
      <c r="H173" s="6" t="s">
        <v>792</v>
      </c>
      <c r="I173" s="0" t="n">
        <v>0.4</v>
      </c>
      <c r="J173" s="0" t="n">
        <f aca="false">CONVERT(G173,"m^2","ha")</f>
        <v>0.1105649</v>
      </c>
      <c r="K173" s="0" t="b">
        <f aca="false">IF(J173&gt;(I173*2),((ROUNDDOWN(J173/I173,0))-1))</f>
        <v>0</v>
      </c>
    </row>
    <row r="174" customFormat="false" ht="12.75" hidden="false" customHeight="false" outlineLevel="0" collapsed="false">
      <c r="A174" s="5" t="n">
        <v>206</v>
      </c>
      <c r="B174" s="6" t="s">
        <v>1135</v>
      </c>
      <c r="C174" s="6" t="s">
        <v>89</v>
      </c>
      <c r="D174" s="6" t="s">
        <v>1136</v>
      </c>
      <c r="E174" s="6" t="s">
        <v>14</v>
      </c>
      <c r="F174" s="6" t="n">
        <v>3571.410331925</v>
      </c>
      <c r="G174" s="6" t="n">
        <v>3571.378</v>
      </c>
      <c r="H174" s="6" t="s">
        <v>792</v>
      </c>
      <c r="I174" s="0" t="n">
        <v>0.4</v>
      </c>
      <c r="J174" s="0" t="n">
        <f aca="false">CONVERT(G174,"m^2","ha")</f>
        <v>0.3571378</v>
      </c>
      <c r="K174" s="0" t="b">
        <f aca="false">IF(J174&gt;(I174*2),((ROUNDDOWN(J174/I174,0))-1))</f>
        <v>0</v>
      </c>
    </row>
    <row r="175" customFormat="false" ht="12.75" hidden="false" customHeight="false" outlineLevel="0" collapsed="false">
      <c r="A175" s="5" t="n">
        <v>207</v>
      </c>
      <c r="B175" s="6" t="s">
        <v>1137</v>
      </c>
      <c r="C175" s="6" t="s">
        <v>89</v>
      </c>
      <c r="D175" s="6" t="s">
        <v>1138</v>
      </c>
      <c r="E175" s="6" t="s">
        <v>14</v>
      </c>
      <c r="F175" s="6" t="n">
        <v>4243.33498997</v>
      </c>
      <c r="G175" s="6" t="n">
        <v>4243.335</v>
      </c>
      <c r="H175" s="6" t="s">
        <v>792</v>
      </c>
      <c r="I175" s="0" t="n">
        <v>0.4</v>
      </c>
      <c r="J175" s="0" t="n">
        <f aca="false">CONVERT(G175,"m^2","ha")</f>
        <v>0.4243335</v>
      </c>
      <c r="K175" s="0" t="b">
        <f aca="false">IF(J175&gt;(I175*2),((ROUNDDOWN(J175/I175,0))-1))</f>
        <v>0</v>
      </c>
    </row>
    <row r="176" customFormat="false" ht="12.75" hidden="false" customHeight="false" outlineLevel="0" collapsed="false">
      <c r="A176" s="5" t="n">
        <v>209</v>
      </c>
      <c r="B176" s="6" t="s">
        <v>1139</v>
      </c>
      <c r="C176" s="6" t="s">
        <v>89</v>
      </c>
      <c r="D176" s="6" t="s">
        <v>1140</v>
      </c>
      <c r="E176" s="6" t="s">
        <v>14</v>
      </c>
      <c r="F176" s="6" t="n">
        <v>1674.623520215</v>
      </c>
      <c r="G176" s="6" t="n">
        <v>1674.38</v>
      </c>
      <c r="H176" s="6" t="s">
        <v>792</v>
      </c>
      <c r="I176" s="0" t="n">
        <v>0.4</v>
      </c>
      <c r="J176" s="0" t="n">
        <f aca="false">CONVERT(G176,"m^2","ha")</f>
        <v>0.167438</v>
      </c>
      <c r="K176" s="0" t="b">
        <f aca="false">IF(J176&gt;(I176*2),((ROUNDDOWN(J176/I176,0))-1))</f>
        <v>0</v>
      </c>
    </row>
    <row r="177" customFormat="false" ht="12.75" hidden="false" customHeight="false" outlineLevel="0" collapsed="false">
      <c r="A177" s="5" t="n">
        <v>210</v>
      </c>
      <c r="B177" s="6" t="s">
        <v>1141</v>
      </c>
      <c r="C177" s="6" t="s">
        <v>12</v>
      </c>
      <c r="D177" s="6" t="s">
        <v>1142</v>
      </c>
      <c r="E177" s="6" t="s">
        <v>14</v>
      </c>
      <c r="F177" s="6" t="n">
        <v>1541.52126375</v>
      </c>
      <c r="G177" s="6" t="n">
        <v>1541.521</v>
      </c>
      <c r="H177" s="6" t="s">
        <v>792</v>
      </c>
      <c r="I177" s="0" t="n">
        <v>0.4</v>
      </c>
      <c r="J177" s="0" t="n">
        <f aca="false">CONVERT(G177,"m^2","ha")</f>
        <v>0.1541521</v>
      </c>
      <c r="K177" s="0" t="b">
        <f aca="false">IF(J177&gt;(I177*2),((ROUNDDOWN(J177/I177,0))-1))</f>
        <v>0</v>
      </c>
    </row>
    <row r="178" customFormat="false" ht="12.75" hidden="false" customHeight="false" outlineLevel="0" collapsed="false">
      <c r="A178" s="5" t="n">
        <v>214</v>
      </c>
      <c r="B178" s="6" t="s">
        <v>1143</v>
      </c>
      <c r="C178" s="6" t="s">
        <v>12</v>
      </c>
      <c r="D178" s="6" t="s">
        <v>1144</v>
      </c>
      <c r="E178" s="6" t="s">
        <v>14</v>
      </c>
      <c r="F178" s="6" t="n">
        <v>881.90957838</v>
      </c>
      <c r="G178" s="6" t="n">
        <v>881.91</v>
      </c>
      <c r="H178" s="6" t="s">
        <v>792</v>
      </c>
      <c r="I178" s="0" t="n">
        <v>0.4</v>
      </c>
      <c r="J178" s="0" t="n">
        <f aca="false">CONVERT(G178,"m^2","ha")</f>
        <v>0.088191</v>
      </c>
      <c r="K178" s="0" t="b">
        <f aca="false">IF(J178&gt;(I178*2),((ROUNDDOWN(J178/I178,0))-1))</f>
        <v>0</v>
      </c>
    </row>
    <row r="179" customFormat="false" ht="12.75" hidden="false" customHeight="false" outlineLevel="0" collapsed="false">
      <c r="A179" s="5" t="n">
        <v>215</v>
      </c>
      <c r="B179" s="6" t="s">
        <v>1145</v>
      </c>
      <c r="C179" s="6" t="s">
        <v>12</v>
      </c>
      <c r="D179" s="6" t="s">
        <v>1146</v>
      </c>
      <c r="E179" s="6" t="s">
        <v>14</v>
      </c>
      <c r="F179" s="6" t="n">
        <v>1203.9146676</v>
      </c>
      <c r="G179" s="6" t="n">
        <v>1203.915</v>
      </c>
      <c r="H179" s="6" t="s">
        <v>792</v>
      </c>
      <c r="I179" s="0" t="n">
        <v>0.4</v>
      </c>
      <c r="J179" s="0" t="n">
        <f aca="false">CONVERT(G179,"m^2","ha")</f>
        <v>0.1203915</v>
      </c>
      <c r="K179" s="0" t="b">
        <f aca="false">IF(J179&gt;(I179*2),((ROUNDDOWN(J179/I179,0))-1))</f>
        <v>0</v>
      </c>
    </row>
    <row r="180" customFormat="false" ht="12.75" hidden="false" customHeight="false" outlineLevel="0" collapsed="false">
      <c r="A180" s="5" t="n">
        <v>216</v>
      </c>
      <c r="B180" s="6" t="s">
        <v>1147</v>
      </c>
      <c r="C180" s="6" t="s">
        <v>89</v>
      </c>
      <c r="D180" s="6" t="s">
        <v>1148</v>
      </c>
      <c r="E180" s="6" t="s">
        <v>14</v>
      </c>
      <c r="F180" s="6" t="n">
        <v>3088.755543465</v>
      </c>
      <c r="G180" s="6" t="n">
        <v>3088.756</v>
      </c>
      <c r="H180" s="6" t="s">
        <v>792</v>
      </c>
      <c r="I180" s="0" t="n">
        <v>0.4</v>
      </c>
      <c r="J180" s="0" t="n">
        <f aca="false">CONVERT(G180,"m^2","ha")</f>
        <v>0.3088756</v>
      </c>
      <c r="K180" s="0" t="b">
        <f aca="false">IF(J180&gt;(I180*2),((ROUNDDOWN(J180/I180,0))-1))</f>
        <v>0</v>
      </c>
    </row>
    <row r="181" customFormat="false" ht="12.75" hidden="false" customHeight="false" outlineLevel="0" collapsed="false">
      <c r="A181" s="5" t="n">
        <v>217</v>
      </c>
      <c r="B181" s="6" t="s">
        <v>1149</v>
      </c>
      <c r="C181" s="6" t="s">
        <v>12</v>
      </c>
      <c r="D181" s="6" t="s">
        <v>1150</v>
      </c>
      <c r="E181" s="6" t="s">
        <v>14</v>
      </c>
      <c r="F181" s="6" t="n">
        <v>2171.52376414</v>
      </c>
      <c r="G181" s="6" t="n">
        <v>2171.524</v>
      </c>
      <c r="H181" s="6" t="s">
        <v>792</v>
      </c>
      <c r="I181" s="0" t="n">
        <v>0.4</v>
      </c>
      <c r="J181" s="0" t="n">
        <f aca="false">CONVERT(G181,"m^2","ha")</f>
        <v>0.2171524</v>
      </c>
      <c r="K181" s="0" t="b">
        <f aca="false">IF(J181&gt;(I181*2),((ROUNDDOWN(J181/I181,0))-1))</f>
        <v>0</v>
      </c>
    </row>
    <row r="182" customFormat="false" ht="12.75" hidden="false" customHeight="false" outlineLevel="0" collapsed="false">
      <c r="A182" s="5" t="n">
        <v>218</v>
      </c>
      <c r="B182" s="6" t="s">
        <v>1151</v>
      </c>
      <c r="C182" s="6" t="s">
        <v>12</v>
      </c>
      <c r="D182" s="6" t="s">
        <v>1152</v>
      </c>
      <c r="E182" s="6" t="s">
        <v>14</v>
      </c>
      <c r="F182" s="6" t="n">
        <v>10014.60744862</v>
      </c>
      <c r="G182" s="6" t="n">
        <v>10014.607</v>
      </c>
      <c r="H182" s="6" t="s">
        <v>792</v>
      </c>
      <c r="I182" s="0" t="n">
        <v>0.4</v>
      </c>
      <c r="J182" s="0" t="n">
        <f aca="false">CONVERT(G182,"m^2","ha")</f>
        <v>1.0014607</v>
      </c>
      <c r="K182" s="0" t="n">
        <f aca="false">IF(J182&gt;(I182*2),((ROUNDDOWN(J182/I182,0))-1))</f>
        <v>1</v>
      </c>
    </row>
    <row r="183" customFormat="false" ht="12.75" hidden="false" customHeight="false" outlineLevel="0" collapsed="false">
      <c r="A183" s="5" t="n">
        <v>219</v>
      </c>
      <c r="B183" s="6" t="s">
        <v>1153</v>
      </c>
      <c r="C183" s="6" t="s">
        <v>12</v>
      </c>
      <c r="D183" s="6" t="s">
        <v>1154</v>
      </c>
      <c r="E183" s="6" t="s">
        <v>14</v>
      </c>
      <c r="F183" s="6" t="n">
        <v>1120.00741975</v>
      </c>
      <c r="G183" s="6" t="n">
        <v>1120.007</v>
      </c>
      <c r="H183" s="6" t="s">
        <v>792</v>
      </c>
      <c r="I183" s="0" t="n">
        <v>0.4</v>
      </c>
      <c r="J183" s="0" t="n">
        <f aca="false">CONVERT(G183,"m^2","ha")</f>
        <v>0.1120007</v>
      </c>
      <c r="K183" s="0" t="b">
        <f aca="false">IF(J183&gt;(I183*2),((ROUNDDOWN(J183/I183,0))-1))</f>
        <v>0</v>
      </c>
    </row>
    <row r="184" customFormat="false" ht="12.75" hidden="false" customHeight="false" outlineLevel="0" collapsed="false">
      <c r="A184" s="5" t="n">
        <v>220</v>
      </c>
      <c r="B184" s="6" t="s">
        <v>1155</v>
      </c>
      <c r="C184" s="6" t="s">
        <v>89</v>
      </c>
      <c r="D184" s="6" t="s">
        <v>1156</v>
      </c>
      <c r="E184" s="6" t="s">
        <v>14</v>
      </c>
      <c r="F184" s="6" t="n">
        <v>4228.442333775</v>
      </c>
      <c r="G184" s="6" t="n">
        <v>4228.442</v>
      </c>
      <c r="H184" s="6" t="s">
        <v>792</v>
      </c>
      <c r="I184" s="0" t="n">
        <v>0.4</v>
      </c>
      <c r="J184" s="0" t="n">
        <f aca="false">CONVERT(G184,"m^2","ha")</f>
        <v>0.4228442</v>
      </c>
      <c r="K184" s="0" t="b">
        <f aca="false">IF(J184&gt;(I184*2),((ROUNDDOWN(J184/I184,0))-1))</f>
        <v>0</v>
      </c>
    </row>
    <row r="185" customFormat="false" ht="12.75" hidden="false" customHeight="false" outlineLevel="0" collapsed="false">
      <c r="A185" s="5" t="n">
        <v>221</v>
      </c>
      <c r="B185" s="6" t="s">
        <v>1157</v>
      </c>
      <c r="C185" s="6" t="s">
        <v>12</v>
      </c>
      <c r="D185" s="6" t="s">
        <v>1158</v>
      </c>
      <c r="E185" s="6" t="s">
        <v>14</v>
      </c>
      <c r="F185" s="6" t="n">
        <v>927.40316146</v>
      </c>
      <c r="G185" s="6" t="n">
        <v>927.403</v>
      </c>
      <c r="H185" s="6" t="s">
        <v>792</v>
      </c>
      <c r="I185" s="0" t="n">
        <v>0.4</v>
      </c>
      <c r="J185" s="0" t="n">
        <f aca="false">CONVERT(G185,"m^2","ha")</f>
        <v>0.0927403</v>
      </c>
      <c r="K185" s="0" t="b">
        <f aca="false">IF(J185&gt;(I185*2),((ROUNDDOWN(J185/I185,0))-1))</f>
        <v>0</v>
      </c>
    </row>
    <row r="186" customFormat="false" ht="12.75" hidden="false" customHeight="false" outlineLevel="0" collapsed="false">
      <c r="A186" s="5" t="n">
        <v>222</v>
      </c>
      <c r="B186" s="6" t="s">
        <v>1159</v>
      </c>
      <c r="C186" s="6" t="s">
        <v>12</v>
      </c>
      <c r="D186" s="6" t="s">
        <v>1160</v>
      </c>
      <c r="E186" s="6" t="s">
        <v>14</v>
      </c>
      <c r="F186" s="6" t="n">
        <v>7369.030872925</v>
      </c>
      <c r="G186" s="6" t="n">
        <v>7369.031</v>
      </c>
      <c r="H186" s="6" t="s">
        <v>792</v>
      </c>
      <c r="I186" s="0" t="n">
        <v>0.4</v>
      </c>
      <c r="J186" s="0" t="n">
        <f aca="false">CONVERT(G186,"m^2","ha")</f>
        <v>0.7369031</v>
      </c>
      <c r="K186" s="0" t="b">
        <f aca="false">IF(J186&gt;(I186*2),((ROUNDDOWN(J186/I186,0))-1))</f>
        <v>0</v>
      </c>
    </row>
    <row r="187" customFormat="false" ht="12.75" hidden="false" customHeight="false" outlineLevel="0" collapsed="false">
      <c r="A187" s="5" t="n">
        <v>223</v>
      </c>
      <c r="B187" s="6" t="s">
        <v>1161</v>
      </c>
      <c r="C187" s="6" t="s">
        <v>12</v>
      </c>
      <c r="D187" s="6" t="s">
        <v>1162</v>
      </c>
      <c r="E187" s="6" t="s">
        <v>14</v>
      </c>
      <c r="F187" s="6" t="n">
        <v>3968.614447205</v>
      </c>
      <c r="G187" s="6" t="n">
        <v>3969.528</v>
      </c>
      <c r="H187" s="6" t="s">
        <v>792</v>
      </c>
      <c r="I187" s="0" t="n">
        <v>0.4</v>
      </c>
      <c r="J187" s="0" t="n">
        <f aca="false">CONVERT(G187,"m^2","ha")</f>
        <v>0.3969528</v>
      </c>
      <c r="K187" s="0" t="b">
        <f aca="false">IF(J187&gt;(I187*2),((ROUNDDOWN(J187/I187,0))-1))</f>
        <v>0</v>
      </c>
    </row>
    <row r="188" customFormat="false" ht="12.75" hidden="false" customHeight="false" outlineLevel="0" collapsed="false">
      <c r="A188" s="5" t="n">
        <v>224</v>
      </c>
      <c r="B188" s="6" t="s">
        <v>1163</v>
      </c>
      <c r="C188" s="6" t="s">
        <v>12</v>
      </c>
      <c r="D188" s="6" t="s">
        <v>1164</v>
      </c>
      <c r="E188" s="6" t="s">
        <v>14</v>
      </c>
      <c r="F188" s="6" t="n">
        <v>1738.766823985</v>
      </c>
      <c r="G188" s="6" t="n">
        <v>1738.767</v>
      </c>
      <c r="H188" s="6" t="s">
        <v>792</v>
      </c>
      <c r="I188" s="0" t="n">
        <v>0.4</v>
      </c>
      <c r="J188" s="0" t="n">
        <f aca="false">CONVERT(G188,"m^2","ha")</f>
        <v>0.1738767</v>
      </c>
      <c r="K188" s="0" t="b">
        <f aca="false">IF(J188&gt;(I188*2),((ROUNDDOWN(J188/I188,0))-1))</f>
        <v>0</v>
      </c>
    </row>
    <row r="189" customFormat="false" ht="12.75" hidden="false" customHeight="false" outlineLevel="0" collapsed="false">
      <c r="A189" s="5" t="n">
        <v>226</v>
      </c>
      <c r="B189" s="6" t="s">
        <v>1165</v>
      </c>
      <c r="C189" s="6" t="s">
        <v>89</v>
      </c>
      <c r="D189" s="6" t="s">
        <v>1166</v>
      </c>
      <c r="E189" s="6" t="s">
        <v>14</v>
      </c>
      <c r="F189" s="6" t="n">
        <v>2711.36140367</v>
      </c>
      <c r="G189" s="6" t="n">
        <v>2711.361</v>
      </c>
      <c r="H189" s="6" t="s">
        <v>792</v>
      </c>
      <c r="I189" s="0" t="n">
        <v>0.4</v>
      </c>
      <c r="J189" s="0" t="n">
        <f aca="false">CONVERT(G189,"m^2","ha")</f>
        <v>0.2711361</v>
      </c>
      <c r="K189" s="0" t="b">
        <f aca="false">IF(J189&gt;(I189*2),((ROUNDDOWN(J189/I189,0))-1))</f>
        <v>0</v>
      </c>
    </row>
    <row r="190" customFormat="false" ht="12.75" hidden="false" customHeight="false" outlineLevel="0" collapsed="false">
      <c r="A190" s="5" t="n">
        <v>227</v>
      </c>
      <c r="B190" s="6" t="s">
        <v>1167</v>
      </c>
      <c r="C190" s="6" t="s">
        <v>12</v>
      </c>
      <c r="D190" s="6" t="s">
        <v>1168</v>
      </c>
      <c r="E190" s="6" t="s">
        <v>14</v>
      </c>
      <c r="F190" s="6" t="n">
        <v>1645.56197753</v>
      </c>
      <c r="G190" s="6" t="n">
        <v>1645.562</v>
      </c>
      <c r="H190" s="6" t="s">
        <v>792</v>
      </c>
      <c r="I190" s="0" t="n">
        <v>0.4</v>
      </c>
      <c r="J190" s="0" t="n">
        <f aca="false">CONVERT(G190,"m^2","ha")</f>
        <v>0.1645562</v>
      </c>
      <c r="K190" s="0" t="b">
        <f aca="false">IF(J190&gt;(I190*2),((ROUNDDOWN(J190/I190,0))-1))</f>
        <v>0</v>
      </c>
    </row>
    <row r="191" customFormat="false" ht="12.75" hidden="false" customHeight="false" outlineLevel="0" collapsed="false">
      <c r="A191" s="5" t="n">
        <v>229</v>
      </c>
      <c r="B191" s="6" t="s">
        <v>1169</v>
      </c>
      <c r="C191" s="6" t="s">
        <v>12</v>
      </c>
      <c r="D191" s="6" t="s">
        <v>1170</v>
      </c>
      <c r="E191" s="6" t="s">
        <v>14</v>
      </c>
      <c r="F191" s="6" t="n">
        <v>5986.701062955</v>
      </c>
      <c r="G191" s="6" t="n">
        <v>5986.701</v>
      </c>
      <c r="H191" s="6" t="s">
        <v>792</v>
      </c>
      <c r="I191" s="0" t="n">
        <v>0.4</v>
      </c>
      <c r="J191" s="0" t="n">
        <f aca="false">CONVERT(G191,"m^2","ha")</f>
        <v>0.5986701</v>
      </c>
      <c r="K191" s="0" t="b">
        <f aca="false">IF(J191&gt;(I191*2),((ROUNDDOWN(J191/I191,0))-1))</f>
        <v>0</v>
      </c>
    </row>
    <row r="192" customFormat="false" ht="12.75" hidden="false" customHeight="false" outlineLevel="0" collapsed="false">
      <c r="A192" s="5" t="n">
        <v>230</v>
      </c>
      <c r="B192" s="6" t="s">
        <v>1171</v>
      </c>
      <c r="C192" s="6" t="s">
        <v>89</v>
      </c>
      <c r="D192" s="6" t="s">
        <v>1172</v>
      </c>
      <c r="E192" s="6" t="s">
        <v>14</v>
      </c>
      <c r="F192" s="6" t="n">
        <v>1166.90942472</v>
      </c>
      <c r="G192" s="6" t="n">
        <v>1166.909</v>
      </c>
      <c r="H192" s="6" t="s">
        <v>792</v>
      </c>
      <c r="I192" s="0" t="n">
        <v>0.4</v>
      </c>
      <c r="J192" s="0" t="n">
        <f aca="false">CONVERT(G192,"m^2","ha")</f>
        <v>0.1166909</v>
      </c>
      <c r="K192" s="0" t="b">
        <f aca="false">IF(J192&gt;(I192*2),((ROUNDDOWN(J192/I192,0))-1))</f>
        <v>0</v>
      </c>
    </row>
    <row r="193" customFormat="false" ht="12.75" hidden="false" customHeight="false" outlineLevel="0" collapsed="false">
      <c r="A193" s="5" t="n">
        <v>231</v>
      </c>
      <c r="B193" s="6" t="s">
        <v>1173</v>
      </c>
      <c r="C193" s="6" t="s">
        <v>12</v>
      </c>
      <c r="D193" s="6" t="s">
        <v>1174</v>
      </c>
      <c r="E193" s="6" t="s">
        <v>14</v>
      </c>
      <c r="F193" s="6" t="n">
        <v>2617.36921338</v>
      </c>
      <c r="G193" s="6" t="n">
        <v>2618.925</v>
      </c>
      <c r="H193" s="6" t="s">
        <v>792</v>
      </c>
      <c r="I193" s="0" t="n">
        <v>0.4</v>
      </c>
      <c r="J193" s="0" t="n">
        <f aca="false">CONVERT(G193,"m^2","ha")</f>
        <v>0.2618925</v>
      </c>
      <c r="K193" s="0" t="b">
        <f aca="false">IF(J193&gt;(I193*2),((ROUNDDOWN(J193/I193,0))-1))</f>
        <v>0</v>
      </c>
    </row>
    <row r="194" customFormat="false" ht="12.75" hidden="false" customHeight="false" outlineLevel="0" collapsed="false">
      <c r="A194" s="5" t="n">
        <v>232</v>
      </c>
      <c r="B194" s="6" t="s">
        <v>1175</v>
      </c>
      <c r="C194" s="6" t="s">
        <v>89</v>
      </c>
      <c r="D194" s="6" t="s">
        <v>1176</v>
      </c>
      <c r="E194" s="6" t="s">
        <v>14</v>
      </c>
      <c r="F194" s="6" t="n">
        <v>2112.23546679</v>
      </c>
      <c r="G194" s="6" t="n">
        <v>2111.762</v>
      </c>
      <c r="H194" s="6" t="s">
        <v>792</v>
      </c>
      <c r="I194" s="0" t="n">
        <v>0.4</v>
      </c>
      <c r="J194" s="0" t="n">
        <f aca="false">CONVERT(G194,"m^2","ha")</f>
        <v>0.2111762</v>
      </c>
      <c r="K194" s="0" t="b">
        <f aca="false">IF(J194&gt;(I194*2),((ROUNDDOWN(J194/I194,0))-1))</f>
        <v>0</v>
      </c>
    </row>
    <row r="195" customFormat="false" ht="12.75" hidden="false" customHeight="false" outlineLevel="0" collapsed="false">
      <c r="A195" s="5" t="n">
        <v>233</v>
      </c>
      <c r="B195" s="6" t="s">
        <v>1177</v>
      </c>
      <c r="C195" s="6" t="s">
        <v>12</v>
      </c>
      <c r="D195" s="6" t="s">
        <v>1178</v>
      </c>
      <c r="E195" s="6" t="s">
        <v>14</v>
      </c>
      <c r="F195" s="6" t="n">
        <v>4947.760604885</v>
      </c>
      <c r="G195" s="6" t="n">
        <v>4947.761</v>
      </c>
      <c r="H195" s="6" t="s">
        <v>792</v>
      </c>
      <c r="I195" s="0" t="n">
        <v>0.4</v>
      </c>
      <c r="J195" s="0" t="n">
        <f aca="false">CONVERT(G195,"m^2","ha")</f>
        <v>0.4947761</v>
      </c>
      <c r="K195" s="0" t="b">
        <f aca="false">IF(J195&gt;(I195*2),((ROUNDDOWN(J195/I195,0))-1))</f>
        <v>0</v>
      </c>
    </row>
    <row r="196" customFormat="false" ht="12.75" hidden="false" customHeight="false" outlineLevel="0" collapsed="false">
      <c r="A196" s="5" t="n">
        <v>234</v>
      </c>
      <c r="B196" s="6" t="s">
        <v>1179</v>
      </c>
      <c r="C196" s="6" t="s">
        <v>12</v>
      </c>
      <c r="D196" s="6" t="s">
        <v>1180</v>
      </c>
      <c r="E196" s="6" t="s">
        <v>14</v>
      </c>
      <c r="F196" s="6" t="n">
        <v>4075.39924776</v>
      </c>
      <c r="G196" s="6" t="n">
        <v>4075.399</v>
      </c>
      <c r="H196" s="6" t="s">
        <v>792</v>
      </c>
      <c r="I196" s="0" t="n">
        <v>0.4</v>
      </c>
      <c r="J196" s="0" t="n">
        <f aca="false">CONVERT(G196,"m^2","ha")</f>
        <v>0.4075399</v>
      </c>
      <c r="K196" s="0" t="b">
        <f aca="false">IF(J196&gt;(I196*2),((ROUNDDOWN(J196/I196,0))-1))</f>
        <v>0</v>
      </c>
    </row>
    <row r="197" customFormat="false" ht="12.75" hidden="false" customHeight="false" outlineLevel="0" collapsed="false">
      <c r="A197" s="5" t="n">
        <v>235</v>
      </c>
      <c r="B197" s="6" t="s">
        <v>1181</v>
      </c>
      <c r="C197" s="6" t="s">
        <v>12</v>
      </c>
      <c r="D197" s="6" t="s">
        <v>1182</v>
      </c>
      <c r="E197" s="6" t="s">
        <v>14</v>
      </c>
      <c r="F197" s="6" t="n">
        <v>1820.19857604</v>
      </c>
      <c r="G197" s="6" t="n">
        <v>1820.199</v>
      </c>
      <c r="H197" s="6" t="s">
        <v>792</v>
      </c>
      <c r="I197" s="0" t="n">
        <v>0.4</v>
      </c>
      <c r="J197" s="0" t="n">
        <f aca="false">CONVERT(G197,"m^2","ha")</f>
        <v>0.1820199</v>
      </c>
      <c r="K197" s="0" t="b">
        <f aca="false">IF(J197&gt;(I197*2),((ROUNDDOWN(J197/I197,0))-1))</f>
        <v>0</v>
      </c>
    </row>
    <row r="198" customFormat="false" ht="12.75" hidden="false" customHeight="false" outlineLevel="0" collapsed="false">
      <c r="A198" s="5" t="n">
        <v>236</v>
      </c>
      <c r="B198" s="6" t="s">
        <v>1183</v>
      </c>
      <c r="C198" s="6" t="s">
        <v>12</v>
      </c>
      <c r="D198" s="6" t="s">
        <v>1184</v>
      </c>
      <c r="E198" s="6" t="s">
        <v>14</v>
      </c>
      <c r="F198" s="6" t="n">
        <v>1309.713797975</v>
      </c>
      <c r="G198" s="6" t="n">
        <v>1308.675</v>
      </c>
      <c r="H198" s="6" t="s">
        <v>792</v>
      </c>
      <c r="I198" s="0" t="n">
        <v>0.4</v>
      </c>
      <c r="J198" s="0" t="n">
        <f aca="false">CONVERT(G198,"m^2","ha")</f>
        <v>0.1308675</v>
      </c>
      <c r="K198" s="0" t="b">
        <f aca="false">IF(J198&gt;(I198*2),((ROUNDDOWN(J198/I198,0))-1))</f>
        <v>0</v>
      </c>
    </row>
    <row r="199" customFormat="false" ht="12.75" hidden="false" customHeight="false" outlineLevel="0" collapsed="false">
      <c r="A199" s="5" t="n">
        <v>237</v>
      </c>
      <c r="B199" s="6" t="s">
        <v>1185</v>
      </c>
      <c r="C199" s="6" t="s">
        <v>89</v>
      </c>
      <c r="D199" s="6" t="s">
        <v>1186</v>
      </c>
      <c r="E199" s="6" t="s">
        <v>14</v>
      </c>
      <c r="F199" s="6" t="n">
        <v>2221.20055188</v>
      </c>
      <c r="G199" s="6" t="n">
        <v>2221.201</v>
      </c>
      <c r="H199" s="6" t="s">
        <v>792</v>
      </c>
      <c r="I199" s="0" t="n">
        <v>0.4</v>
      </c>
      <c r="J199" s="0" t="n">
        <f aca="false">CONVERT(G199,"m^2","ha")</f>
        <v>0.2221201</v>
      </c>
      <c r="K199" s="0" t="b">
        <f aca="false">IF(J199&gt;(I199*2),((ROUNDDOWN(J199/I199,0))-1))</f>
        <v>0</v>
      </c>
    </row>
    <row r="200" customFormat="false" ht="12.75" hidden="false" customHeight="false" outlineLevel="0" collapsed="false">
      <c r="A200" s="5" t="n">
        <v>238</v>
      </c>
      <c r="B200" s="6" t="s">
        <v>1187</v>
      </c>
      <c r="C200" s="6" t="s">
        <v>12</v>
      </c>
      <c r="D200" s="6" t="s">
        <v>1188</v>
      </c>
      <c r="E200" s="6" t="s">
        <v>14</v>
      </c>
      <c r="F200" s="6" t="n">
        <v>815.782033105</v>
      </c>
      <c r="G200" s="6" t="n">
        <v>815.782</v>
      </c>
      <c r="H200" s="6" t="s">
        <v>792</v>
      </c>
      <c r="I200" s="0" t="n">
        <v>0.4</v>
      </c>
      <c r="J200" s="0" t="n">
        <f aca="false">CONVERT(G200,"m^2","ha")</f>
        <v>0.0815782</v>
      </c>
      <c r="K200" s="0" t="b">
        <f aca="false">IF(J200&gt;(I200*2),((ROUNDDOWN(J200/I200,0))-1))</f>
        <v>0</v>
      </c>
    </row>
    <row r="201" customFormat="false" ht="12.75" hidden="false" customHeight="false" outlineLevel="0" collapsed="false">
      <c r="A201" s="5" t="n">
        <v>239</v>
      </c>
      <c r="B201" s="6" t="s">
        <v>1189</v>
      </c>
      <c r="C201" s="6" t="s">
        <v>12</v>
      </c>
      <c r="D201" s="6" t="s">
        <v>1190</v>
      </c>
      <c r="E201" s="6" t="s">
        <v>14</v>
      </c>
      <c r="F201" s="6" t="n">
        <v>1535.875478265</v>
      </c>
      <c r="G201" s="6" t="n">
        <v>1535.875</v>
      </c>
      <c r="H201" s="6" t="s">
        <v>792</v>
      </c>
      <c r="I201" s="0" t="n">
        <v>0.4</v>
      </c>
      <c r="J201" s="0" t="n">
        <f aca="false">CONVERT(G201,"m^2","ha")</f>
        <v>0.1535875</v>
      </c>
      <c r="K201" s="0" t="b">
        <f aca="false">IF(J201&gt;(I201*2),((ROUNDDOWN(J201/I201,0))-1))</f>
        <v>0</v>
      </c>
    </row>
    <row r="202" customFormat="false" ht="12.75" hidden="false" customHeight="false" outlineLevel="0" collapsed="false">
      <c r="A202" s="5" t="n">
        <v>240</v>
      </c>
      <c r="B202" s="6" t="s">
        <v>1191</v>
      </c>
      <c r="C202" s="6" t="s">
        <v>89</v>
      </c>
      <c r="D202" s="6" t="s">
        <v>1192</v>
      </c>
      <c r="E202" s="6" t="s">
        <v>14</v>
      </c>
      <c r="F202" s="6" t="n">
        <v>3313.70844476</v>
      </c>
      <c r="G202" s="6" t="n">
        <v>3313.708</v>
      </c>
      <c r="H202" s="6" t="s">
        <v>792</v>
      </c>
      <c r="I202" s="0" t="n">
        <v>0.4</v>
      </c>
      <c r="J202" s="0" t="n">
        <f aca="false">CONVERT(G202,"m^2","ha")</f>
        <v>0.3313708</v>
      </c>
      <c r="K202" s="0" t="b">
        <f aca="false">IF(J202&gt;(I202*2),((ROUNDDOWN(J202/I202,0))-1))</f>
        <v>0</v>
      </c>
    </row>
    <row r="203" customFormat="false" ht="12.75" hidden="false" customHeight="false" outlineLevel="0" collapsed="false">
      <c r="A203" s="5" t="n">
        <v>241</v>
      </c>
      <c r="B203" s="6" t="s">
        <v>1193</v>
      </c>
      <c r="C203" s="6" t="s">
        <v>12</v>
      </c>
      <c r="D203" s="6" t="s">
        <v>1194</v>
      </c>
      <c r="E203" s="6" t="s">
        <v>14</v>
      </c>
      <c r="F203" s="6" t="n">
        <v>4225.7831046</v>
      </c>
      <c r="G203" s="6" t="n">
        <v>4225.783</v>
      </c>
      <c r="H203" s="6" t="s">
        <v>792</v>
      </c>
      <c r="I203" s="0" t="n">
        <v>0.4</v>
      </c>
      <c r="J203" s="0" t="n">
        <f aca="false">CONVERT(G203,"m^2","ha")</f>
        <v>0.4225783</v>
      </c>
      <c r="K203" s="0" t="b">
        <f aca="false">IF(J203&gt;(I203*2),((ROUNDDOWN(J203/I203,0))-1))</f>
        <v>0</v>
      </c>
    </row>
    <row r="204" customFormat="false" ht="12.75" hidden="false" customHeight="false" outlineLevel="0" collapsed="false">
      <c r="A204" s="5" t="n">
        <v>242</v>
      </c>
      <c r="B204" s="6" t="s">
        <v>1195</v>
      </c>
      <c r="C204" s="6" t="s">
        <v>12</v>
      </c>
      <c r="D204" s="6" t="s">
        <v>1196</v>
      </c>
      <c r="E204" s="6" t="s">
        <v>14</v>
      </c>
      <c r="F204" s="6" t="n">
        <v>1072.469784575</v>
      </c>
      <c r="G204" s="6" t="n">
        <v>1072.47</v>
      </c>
      <c r="H204" s="6" t="s">
        <v>792</v>
      </c>
      <c r="I204" s="0" t="n">
        <v>0.4</v>
      </c>
      <c r="J204" s="0" t="n">
        <f aca="false">CONVERT(G204,"m^2","ha")</f>
        <v>0.107247</v>
      </c>
      <c r="K204" s="0" t="b">
        <f aca="false">IF(J204&gt;(I204*2),((ROUNDDOWN(J204/I204,0))-1))</f>
        <v>0</v>
      </c>
    </row>
    <row r="205" customFormat="false" ht="12.75" hidden="false" customHeight="false" outlineLevel="0" collapsed="false">
      <c r="A205" s="5" t="n">
        <v>243</v>
      </c>
      <c r="B205" s="6" t="s">
        <v>1197</v>
      </c>
      <c r="C205" s="6" t="s">
        <v>12</v>
      </c>
      <c r="D205" s="6" t="s">
        <v>1198</v>
      </c>
      <c r="E205" s="6" t="s">
        <v>14</v>
      </c>
      <c r="F205" s="6" t="n">
        <v>2561.239730275</v>
      </c>
      <c r="G205" s="6" t="n">
        <v>2561.24</v>
      </c>
      <c r="H205" s="6" t="s">
        <v>792</v>
      </c>
      <c r="I205" s="0" t="n">
        <v>0.4</v>
      </c>
      <c r="J205" s="0" t="n">
        <f aca="false">CONVERT(G205,"m^2","ha")</f>
        <v>0.256124</v>
      </c>
      <c r="K205" s="0" t="b">
        <f aca="false">IF(J205&gt;(I205*2),((ROUNDDOWN(J205/I205,0))-1))</f>
        <v>0</v>
      </c>
    </row>
    <row r="206" customFormat="false" ht="12.75" hidden="false" customHeight="false" outlineLevel="0" collapsed="false">
      <c r="A206" s="5" t="n">
        <v>244</v>
      </c>
      <c r="B206" s="6" t="s">
        <v>1199</v>
      </c>
      <c r="C206" s="6" t="s">
        <v>12</v>
      </c>
      <c r="D206" s="6" t="s">
        <v>1200</v>
      </c>
      <c r="E206" s="6" t="s">
        <v>14</v>
      </c>
      <c r="F206" s="6" t="n">
        <v>2439.94907363</v>
      </c>
      <c r="G206" s="6" t="n">
        <v>2439.949</v>
      </c>
      <c r="H206" s="6" t="s">
        <v>792</v>
      </c>
      <c r="I206" s="0" t="n">
        <v>0.4</v>
      </c>
      <c r="J206" s="0" t="n">
        <f aca="false">CONVERT(G206,"m^2","ha")</f>
        <v>0.2439949</v>
      </c>
      <c r="K206" s="0" t="b">
        <f aca="false">IF(J206&gt;(I206*2),((ROUNDDOWN(J206/I206,0))-1))</f>
        <v>0</v>
      </c>
    </row>
    <row r="207" customFormat="false" ht="12.75" hidden="false" customHeight="false" outlineLevel="0" collapsed="false">
      <c r="A207" s="5" t="n">
        <v>245</v>
      </c>
      <c r="B207" s="6" t="s">
        <v>1201</v>
      </c>
      <c r="C207" s="6" t="s">
        <v>12</v>
      </c>
      <c r="D207" s="6" t="s">
        <v>1202</v>
      </c>
      <c r="E207" s="6" t="s">
        <v>14</v>
      </c>
      <c r="F207" s="6" t="n">
        <v>40310.867324285</v>
      </c>
      <c r="G207" s="6" t="n">
        <v>40310.867</v>
      </c>
      <c r="H207" s="6" t="s">
        <v>792</v>
      </c>
      <c r="I207" s="0" t="n">
        <v>0.4</v>
      </c>
      <c r="J207" s="0" t="n">
        <f aca="false">CONVERT(G207,"m^2","ha")</f>
        <v>4.0310867</v>
      </c>
      <c r="K207" s="0" t="n">
        <f aca="false">IF(J207&gt;(I207*2),((ROUNDDOWN(J207/I207,0))-1))</f>
        <v>9</v>
      </c>
    </row>
    <row r="208" customFormat="false" ht="12.75" hidden="false" customHeight="false" outlineLevel="0" collapsed="false">
      <c r="A208" s="5" t="n">
        <v>247</v>
      </c>
      <c r="B208" s="6" t="s">
        <v>1203</v>
      </c>
      <c r="C208" s="6" t="s">
        <v>12</v>
      </c>
      <c r="D208" s="6" t="s">
        <v>1204</v>
      </c>
      <c r="E208" s="6" t="s">
        <v>14</v>
      </c>
      <c r="F208" s="6" t="n">
        <v>4420.536843085</v>
      </c>
      <c r="G208" s="6" t="n">
        <v>4420.537</v>
      </c>
      <c r="H208" s="6" t="s">
        <v>792</v>
      </c>
      <c r="I208" s="0" t="n">
        <v>0.4</v>
      </c>
      <c r="J208" s="0" t="n">
        <f aca="false">CONVERT(G208,"m^2","ha")</f>
        <v>0.4420537</v>
      </c>
      <c r="K208" s="0" t="b">
        <f aca="false">IF(J208&gt;(I208*2),((ROUNDDOWN(J208/I208,0))-1))</f>
        <v>0</v>
      </c>
    </row>
    <row r="209" customFormat="false" ht="12.75" hidden="false" customHeight="false" outlineLevel="0" collapsed="false">
      <c r="A209" s="5" t="n">
        <v>248</v>
      </c>
      <c r="B209" s="6" t="s">
        <v>1205</v>
      </c>
      <c r="C209" s="6" t="s">
        <v>12</v>
      </c>
      <c r="D209" s="6" t="s">
        <v>1206</v>
      </c>
      <c r="E209" s="6" t="s">
        <v>14</v>
      </c>
      <c r="F209" s="6" t="n">
        <v>2123.436130535</v>
      </c>
      <c r="G209" s="6" t="n">
        <v>2123.436</v>
      </c>
      <c r="H209" s="6" t="s">
        <v>792</v>
      </c>
      <c r="I209" s="0" t="n">
        <v>0.4</v>
      </c>
      <c r="J209" s="0" t="n">
        <f aca="false">CONVERT(G209,"m^2","ha")</f>
        <v>0.2123436</v>
      </c>
      <c r="K209" s="0" t="b">
        <f aca="false">IF(J209&gt;(I209*2),((ROUNDDOWN(J209/I209,0))-1))</f>
        <v>0</v>
      </c>
    </row>
    <row r="210" customFormat="false" ht="12.75" hidden="false" customHeight="false" outlineLevel="0" collapsed="false">
      <c r="A210" s="5" t="n">
        <v>249</v>
      </c>
      <c r="B210" s="6" t="s">
        <v>1207</v>
      </c>
      <c r="C210" s="6" t="s">
        <v>12</v>
      </c>
      <c r="D210" s="6" t="s">
        <v>1208</v>
      </c>
      <c r="E210" s="6" t="s">
        <v>14</v>
      </c>
      <c r="F210" s="6" t="n">
        <v>3142.83589079</v>
      </c>
      <c r="G210" s="6" t="n">
        <v>3142.517</v>
      </c>
      <c r="H210" s="6" t="s">
        <v>792</v>
      </c>
      <c r="I210" s="0" t="n">
        <v>0.4</v>
      </c>
      <c r="J210" s="0" t="n">
        <f aca="false">CONVERT(G210,"m^2","ha")</f>
        <v>0.3142517</v>
      </c>
      <c r="K210" s="0" t="b">
        <f aca="false">IF(J210&gt;(I210*2),((ROUNDDOWN(J210/I210,0))-1))</f>
        <v>0</v>
      </c>
    </row>
    <row r="211" customFormat="false" ht="12.75" hidden="false" customHeight="false" outlineLevel="0" collapsed="false">
      <c r="A211" s="5" t="n">
        <v>250</v>
      </c>
      <c r="B211" s="6" t="s">
        <v>1209</v>
      </c>
      <c r="C211" s="6" t="s">
        <v>12</v>
      </c>
      <c r="D211" s="6" t="s">
        <v>1210</v>
      </c>
      <c r="E211" s="6" t="s">
        <v>14</v>
      </c>
      <c r="F211" s="6" t="n">
        <v>3932.74862955</v>
      </c>
      <c r="G211" s="6" t="n">
        <v>3932.749</v>
      </c>
      <c r="H211" s="6" t="s">
        <v>792</v>
      </c>
      <c r="I211" s="0" t="n">
        <v>0.4</v>
      </c>
      <c r="J211" s="0" t="n">
        <f aca="false">CONVERT(G211,"m^2","ha")</f>
        <v>0.3932749</v>
      </c>
      <c r="K211" s="0" t="b">
        <f aca="false">IF(J211&gt;(I211*2),((ROUNDDOWN(J211/I211,0))-1))</f>
        <v>0</v>
      </c>
    </row>
    <row r="212" customFormat="false" ht="12.75" hidden="false" customHeight="false" outlineLevel="0" collapsed="false">
      <c r="A212" s="5" t="n">
        <v>251</v>
      </c>
      <c r="B212" s="6" t="s">
        <v>1211</v>
      </c>
      <c r="C212" s="6" t="s">
        <v>12</v>
      </c>
      <c r="D212" s="6" t="s">
        <v>1212</v>
      </c>
      <c r="E212" s="6" t="s">
        <v>14</v>
      </c>
      <c r="F212" s="6" t="n">
        <v>3419.591247455</v>
      </c>
      <c r="G212" s="6" t="n">
        <v>3419.218</v>
      </c>
      <c r="H212" s="6" t="s">
        <v>792</v>
      </c>
      <c r="I212" s="0" t="n">
        <v>0.4</v>
      </c>
      <c r="J212" s="0" t="n">
        <f aca="false">CONVERT(G212,"m^2","ha")</f>
        <v>0.3419218</v>
      </c>
      <c r="K212" s="0" t="b">
        <f aca="false">IF(J212&gt;(I212*2),((ROUNDDOWN(J212/I212,0))-1))</f>
        <v>0</v>
      </c>
    </row>
    <row r="213" customFormat="false" ht="12.75" hidden="false" customHeight="false" outlineLevel="0" collapsed="false">
      <c r="A213" s="5" t="n">
        <v>252</v>
      </c>
      <c r="B213" s="6" t="s">
        <v>1213</v>
      </c>
      <c r="C213" s="6" t="s">
        <v>12</v>
      </c>
      <c r="D213" s="6" t="s">
        <v>1214</v>
      </c>
      <c r="E213" s="6" t="s">
        <v>14</v>
      </c>
      <c r="F213" s="6" t="n">
        <v>2219.116916055</v>
      </c>
      <c r="G213" s="6" t="n">
        <v>2219.117</v>
      </c>
      <c r="H213" s="6" t="s">
        <v>792</v>
      </c>
      <c r="I213" s="0" t="n">
        <v>0.4</v>
      </c>
      <c r="J213" s="0" t="n">
        <f aca="false">CONVERT(G213,"m^2","ha")</f>
        <v>0.2219117</v>
      </c>
      <c r="K213" s="0" t="b">
        <f aca="false">IF(J213&gt;(I213*2),((ROUNDDOWN(J213/I213,0))-1))</f>
        <v>0</v>
      </c>
    </row>
    <row r="214" customFormat="false" ht="12.75" hidden="false" customHeight="false" outlineLevel="0" collapsed="false">
      <c r="A214" s="5" t="n">
        <v>254</v>
      </c>
      <c r="B214" s="6" t="s">
        <v>1215</v>
      </c>
      <c r="C214" s="6" t="s">
        <v>12</v>
      </c>
      <c r="D214" s="6" t="s">
        <v>1216</v>
      </c>
      <c r="E214" s="6" t="s">
        <v>14</v>
      </c>
      <c r="F214" s="6" t="n">
        <v>3422.44978679</v>
      </c>
      <c r="G214" s="6" t="n">
        <v>3422.45</v>
      </c>
      <c r="H214" s="6" t="s">
        <v>792</v>
      </c>
      <c r="I214" s="0" t="n">
        <v>0.4</v>
      </c>
      <c r="J214" s="0" t="n">
        <f aca="false">CONVERT(G214,"m^2","ha")</f>
        <v>0.342245</v>
      </c>
      <c r="K214" s="0" t="b">
        <f aca="false">IF(J214&gt;(I214*2),((ROUNDDOWN(J214/I214,0))-1))</f>
        <v>0</v>
      </c>
    </row>
    <row r="215" customFormat="false" ht="12.75" hidden="false" customHeight="false" outlineLevel="0" collapsed="false">
      <c r="A215" s="5" t="n">
        <v>255</v>
      </c>
      <c r="B215" s="6" t="s">
        <v>1217</v>
      </c>
      <c r="C215" s="6" t="s">
        <v>89</v>
      </c>
      <c r="D215" s="6" t="s">
        <v>1218</v>
      </c>
      <c r="E215" s="6" t="s">
        <v>14</v>
      </c>
      <c r="F215" s="6" t="n">
        <v>2269.400375335</v>
      </c>
      <c r="G215" s="6" t="n">
        <v>2269.4</v>
      </c>
      <c r="H215" s="6" t="s">
        <v>792</v>
      </c>
      <c r="I215" s="0" t="n">
        <v>0.4</v>
      </c>
      <c r="J215" s="0" t="n">
        <f aca="false">CONVERT(G215,"m^2","ha")</f>
        <v>0.22694</v>
      </c>
      <c r="K215" s="0" t="b">
        <f aca="false">IF(J215&gt;(I215*2),((ROUNDDOWN(J215/I215,0))-1))</f>
        <v>0</v>
      </c>
    </row>
    <row r="216" customFormat="false" ht="12.75" hidden="false" customHeight="false" outlineLevel="0" collapsed="false">
      <c r="A216" s="5" t="n">
        <v>256</v>
      </c>
      <c r="B216" s="6" t="s">
        <v>1219</v>
      </c>
      <c r="C216" s="6" t="s">
        <v>12</v>
      </c>
      <c r="D216" s="6" t="s">
        <v>1220</v>
      </c>
      <c r="E216" s="6" t="s">
        <v>14</v>
      </c>
      <c r="F216" s="6" t="n">
        <v>3700.351395835</v>
      </c>
      <c r="G216" s="6" t="n">
        <v>3700.351</v>
      </c>
      <c r="H216" s="6" t="s">
        <v>792</v>
      </c>
      <c r="I216" s="0" t="n">
        <v>0.4</v>
      </c>
      <c r="J216" s="0" t="n">
        <f aca="false">CONVERT(G216,"m^2","ha")</f>
        <v>0.3700351</v>
      </c>
      <c r="K216" s="0" t="b">
        <f aca="false">IF(J216&gt;(I216*2),((ROUNDDOWN(J216/I216,0))-1))</f>
        <v>0</v>
      </c>
    </row>
    <row r="217" customFormat="false" ht="12.75" hidden="false" customHeight="false" outlineLevel="0" collapsed="false">
      <c r="A217" s="5" t="n">
        <v>257</v>
      </c>
      <c r="B217" s="6" t="s">
        <v>1221</v>
      </c>
      <c r="C217" s="6" t="s">
        <v>12</v>
      </c>
      <c r="D217" s="6" t="s">
        <v>1222</v>
      </c>
      <c r="E217" s="6" t="s">
        <v>14</v>
      </c>
      <c r="F217" s="6" t="n">
        <v>3716.797105545</v>
      </c>
      <c r="G217" s="6" t="n">
        <v>3716.797</v>
      </c>
      <c r="H217" s="6" t="s">
        <v>792</v>
      </c>
      <c r="I217" s="0" t="n">
        <v>0.4</v>
      </c>
      <c r="J217" s="0" t="n">
        <f aca="false">CONVERT(G217,"m^2","ha")</f>
        <v>0.3716797</v>
      </c>
      <c r="K217" s="0" t="b">
        <f aca="false">IF(J217&gt;(I217*2),((ROUNDDOWN(J217/I217,0))-1))</f>
        <v>0</v>
      </c>
    </row>
    <row r="218" customFormat="false" ht="12.75" hidden="false" customHeight="false" outlineLevel="0" collapsed="false">
      <c r="A218" s="5" t="n">
        <v>258</v>
      </c>
      <c r="B218" s="6" t="s">
        <v>1223</v>
      </c>
      <c r="C218" s="6" t="s">
        <v>12</v>
      </c>
      <c r="D218" s="6" t="s">
        <v>1224</v>
      </c>
      <c r="E218" s="6" t="s">
        <v>14</v>
      </c>
      <c r="F218" s="6" t="n">
        <v>1893.68898594</v>
      </c>
      <c r="G218" s="6" t="n">
        <v>1893.689</v>
      </c>
      <c r="H218" s="6" t="s">
        <v>792</v>
      </c>
      <c r="I218" s="0" t="n">
        <v>0.4</v>
      </c>
      <c r="J218" s="0" t="n">
        <f aca="false">CONVERT(G218,"m^2","ha")</f>
        <v>0.1893689</v>
      </c>
      <c r="K218" s="0" t="b">
        <f aca="false">IF(J218&gt;(I218*2),((ROUNDDOWN(J218/I218,0))-1))</f>
        <v>0</v>
      </c>
    </row>
    <row r="219" customFormat="false" ht="12.75" hidden="false" customHeight="false" outlineLevel="0" collapsed="false">
      <c r="A219" s="5" t="n">
        <v>259</v>
      </c>
      <c r="B219" s="6" t="s">
        <v>1225</v>
      </c>
      <c r="C219" s="6" t="s">
        <v>12</v>
      </c>
      <c r="D219" s="6" t="s">
        <v>1226</v>
      </c>
      <c r="E219" s="6" t="s">
        <v>14</v>
      </c>
      <c r="F219" s="6" t="n">
        <v>3284.794695685</v>
      </c>
      <c r="G219" s="6" t="n">
        <v>3284.795</v>
      </c>
      <c r="H219" s="6" t="s">
        <v>792</v>
      </c>
      <c r="I219" s="0" t="n">
        <v>0.4</v>
      </c>
      <c r="J219" s="0" t="n">
        <f aca="false">CONVERT(G219,"m^2","ha")</f>
        <v>0.3284795</v>
      </c>
      <c r="K219" s="0" t="b">
        <f aca="false">IF(J219&gt;(I219*2),((ROUNDDOWN(J219/I219,0))-1))</f>
        <v>0</v>
      </c>
    </row>
    <row r="220" customFormat="false" ht="12.75" hidden="false" customHeight="false" outlineLevel="0" collapsed="false">
      <c r="A220" s="5" t="n">
        <v>260</v>
      </c>
      <c r="B220" s="6" t="s">
        <v>1227</v>
      </c>
      <c r="C220" s="6" t="s">
        <v>12</v>
      </c>
      <c r="D220" s="6" t="s">
        <v>1228</v>
      </c>
      <c r="E220" s="6" t="s">
        <v>14</v>
      </c>
      <c r="F220" s="6" t="n">
        <v>797.770404</v>
      </c>
      <c r="G220" s="6" t="n">
        <v>797.77</v>
      </c>
      <c r="H220" s="6" t="s">
        <v>792</v>
      </c>
      <c r="I220" s="0" t="n">
        <v>0.4</v>
      </c>
      <c r="J220" s="0" t="n">
        <f aca="false">CONVERT(G220,"m^2","ha")</f>
        <v>0.079777</v>
      </c>
      <c r="K220" s="0" t="b">
        <f aca="false">IF(J220&gt;(I220*2),((ROUNDDOWN(J220/I220,0))-1))</f>
        <v>0</v>
      </c>
    </row>
    <row r="221" customFormat="false" ht="12.75" hidden="false" customHeight="false" outlineLevel="0" collapsed="false">
      <c r="A221" s="5" t="n">
        <v>261</v>
      </c>
      <c r="B221" s="6" t="s">
        <v>1229</v>
      </c>
      <c r="C221" s="6" t="s">
        <v>12</v>
      </c>
      <c r="D221" s="6" t="s">
        <v>1230</v>
      </c>
      <c r="E221" s="6" t="s">
        <v>14</v>
      </c>
      <c r="F221" s="6" t="n">
        <v>2777.59491541</v>
      </c>
      <c r="G221" s="6" t="n">
        <v>2777.595</v>
      </c>
      <c r="H221" s="6" t="s">
        <v>792</v>
      </c>
      <c r="I221" s="0" t="n">
        <v>0.4</v>
      </c>
      <c r="J221" s="0" t="n">
        <f aca="false">CONVERT(G221,"m^2","ha")</f>
        <v>0.2777595</v>
      </c>
      <c r="K221" s="0" t="b">
        <f aca="false">IF(J221&gt;(I221*2),((ROUNDDOWN(J221/I221,0))-1))</f>
        <v>0</v>
      </c>
    </row>
    <row r="222" customFormat="false" ht="12.75" hidden="false" customHeight="false" outlineLevel="0" collapsed="false">
      <c r="A222" s="5" t="n">
        <v>262</v>
      </c>
      <c r="B222" s="6" t="s">
        <v>1231</v>
      </c>
      <c r="C222" s="6" t="s">
        <v>12</v>
      </c>
      <c r="D222" s="6" t="s">
        <v>1232</v>
      </c>
      <c r="E222" s="6" t="s">
        <v>14</v>
      </c>
      <c r="F222" s="6" t="n">
        <v>11460.00992979</v>
      </c>
      <c r="G222" s="6" t="n">
        <v>11460.01</v>
      </c>
      <c r="H222" s="6" t="s">
        <v>792</v>
      </c>
      <c r="I222" s="0" t="n">
        <v>0.4</v>
      </c>
      <c r="J222" s="0" t="n">
        <f aca="false">CONVERT(G222,"m^2","ha")</f>
        <v>1.146001</v>
      </c>
      <c r="K222" s="0" t="n">
        <f aca="false">IF(J222&gt;(I222*2),((ROUNDDOWN(J222/I222,0))-1))</f>
        <v>1</v>
      </c>
    </row>
    <row r="223" customFormat="false" ht="12.75" hidden="false" customHeight="false" outlineLevel="0" collapsed="false">
      <c r="A223" s="5" t="n">
        <v>263</v>
      </c>
      <c r="B223" s="6" t="s">
        <v>1233</v>
      </c>
      <c r="C223" s="6" t="s">
        <v>12</v>
      </c>
      <c r="D223" s="6" t="s">
        <v>1234</v>
      </c>
      <c r="E223" s="6" t="s">
        <v>14</v>
      </c>
      <c r="F223" s="6" t="n">
        <v>3078.699328475</v>
      </c>
      <c r="G223" s="6" t="n">
        <v>3078.699</v>
      </c>
      <c r="H223" s="6" t="s">
        <v>792</v>
      </c>
      <c r="I223" s="0" t="n">
        <v>0.4</v>
      </c>
      <c r="J223" s="0" t="n">
        <f aca="false">CONVERT(G223,"m^2","ha")</f>
        <v>0.3078699</v>
      </c>
      <c r="K223" s="0" t="b">
        <f aca="false">IF(J223&gt;(I223*2),((ROUNDDOWN(J223/I223,0))-1))</f>
        <v>0</v>
      </c>
    </row>
    <row r="224" customFormat="false" ht="12.75" hidden="false" customHeight="false" outlineLevel="0" collapsed="false">
      <c r="A224" s="5" t="n">
        <v>265</v>
      </c>
      <c r="B224" s="6" t="s">
        <v>1235</v>
      </c>
      <c r="C224" s="6" t="s">
        <v>12</v>
      </c>
      <c r="D224" s="6" t="s">
        <v>1236</v>
      </c>
      <c r="E224" s="6" t="s">
        <v>14</v>
      </c>
      <c r="F224" s="6" t="n">
        <v>850.827454415</v>
      </c>
      <c r="G224" s="6" t="n">
        <v>850.827</v>
      </c>
      <c r="H224" s="6" t="s">
        <v>792</v>
      </c>
      <c r="I224" s="0" t="n">
        <v>0.4</v>
      </c>
      <c r="J224" s="0" t="n">
        <f aca="false">CONVERT(G224,"m^2","ha")</f>
        <v>0.0850827</v>
      </c>
      <c r="K224" s="0" t="b">
        <f aca="false">IF(J224&gt;(I224*2),((ROUNDDOWN(J224/I224,0))-1))</f>
        <v>0</v>
      </c>
    </row>
    <row r="225" customFormat="false" ht="12.75" hidden="false" customHeight="false" outlineLevel="0" collapsed="false">
      <c r="A225" s="5" t="n">
        <v>266</v>
      </c>
      <c r="B225" s="6" t="s">
        <v>1237</v>
      </c>
      <c r="C225" s="6" t="s">
        <v>12</v>
      </c>
      <c r="D225" s="6" t="s">
        <v>1238</v>
      </c>
      <c r="E225" s="6" t="s">
        <v>14</v>
      </c>
      <c r="F225" s="6" t="n">
        <v>757.43537872</v>
      </c>
      <c r="G225" s="6" t="n">
        <v>757.435</v>
      </c>
      <c r="H225" s="6" t="s">
        <v>792</v>
      </c>
      <c r="I225" s="0" t="n">
        <v>0.4</v>
      </c>
      <c r="J225" s="0" t="n">
        <f aca="false">CONVERT(G225,"m^2","ha")</f>
        <v>0.0757435</v>
      </c>
      <c r="K225" s="0" t="b">
        <f aca="false">IF(J225&gt;(I225*2),((ROUNDDOWN(J225/I225,0))-1))</f>
        <v>0</v>
      </c>
    </row>
    <row r="226" customFormat="false" ht="12.75" hidden="false" customHeight="false" outlineLevel="0" collapsed="false">
      <c r="A226" s="5" t="n">
        <v>267</v>
      </c>
      <c r="B226" s="6" t="s">
        <v>1239</v>
      </c>
      <c r="C226" s="6" t="s">
        <v>12</v>
      </c>
      <c r="D226" s="6" t="s">
        <v>1240</v>
      </c>
      <c r="E226" s="6" t="s">
        <v>14</v>
      </c>
      <c r="F226" s="6" t="n">
        <v>943.1199936</v>
      </c>
      <c r="G226" s="6" t="n">
        <v>943.12</v>
      </c>
      <c r="H226" s="6" t="s">
        <v>792</v>
      </c>
      <c r="I226" s="0" t="n">
        <v>0.4</v>
      </c>
      <c r="J226" s="0" t="n">
        <f aca="false">CONVERT(G226,"m^2","ha")</f>
        <v>0.094312</v>
      </c>
      <c r="K226" s="0" t="b">
        <f aca="false">IF(J226&gt;(I226*2),((ROUNDDOWN(J226/I226,0))-1))</f>
        <v>0</v>
      </c>
    </row>
    <row r="227" customFormat="false" ht="12.75" hidden="false" customHeight="false" outlineLevel="0" collapsed="false">
      <c r="A227" s="5" t="n">
        <v>268</v>
      </c>
      <c r="B227" s="6" t="s">
        <v>1241</v>
      </c>
      <c r="C227" s="6" t="s">
        <v>12</v>
      </c>
      <c r="D227" s="6" t="s">
        <v>1242</v>
      </c>
      <c r="E227" s="6" t="s">
        <v>14</v>
      </c>
      <c r="F227" s="6" t="n">
        <v>1285.629820345</v>
      </c>
      <c r="G227" s="6" t="n">
        <v>1285.63</v>
      </c>
      <c r="H227" s="6" t="s">
        <v>792</v>
      </c>
      <c r="I227" s="0" t="n">
        <v>0.4</v>
      </c>
      <c r="J227" s="0" t="n">
        <f aca="false">CONVERT(G227,"m^2","ha")</f>
        <v>0.128563</v>
      </c>
      <c r="K227" s="0" t="b">
        <f aca="false">IF(J227&gt;(I227*2),((ROUNDDOWN(J227/I227,0))-1))</f>
        <v>0</v>
      </c>
    </row>
    <row r="228" customFormat="false" ht="12.75" hidden="false" customHeight="false" outlineLevel="0" collapsed="false">
      <c r="A228" s="5" t="n">
        <v>270</v>
      </c>
      <c r="B228" s="6" t="s">
        <v>1243</v>
      </c>
      <c r="C228" s="6" t="s">
        <v>12</v>
      </c>
      <c r="D228" s="6" t="s">
        <v>1244</v>
      </c>
      <c r="E228" s="6" t="s">
        <v>14</v>
      </c>
      <c r="F228" s="6" t="n">
        <v>2577.21413881</v>
      </c>
      <c r="G228" s="6" t="n">
        <v>2577.744</v>
      </c>
      <c r="H228" s="6" t="s">
        <v>792</v>
      </c>
      <c r="I228" s="0" t="n">
        <v>0.4</v>
      </c>
      <c r="J228" s="0" t="n">
        <f aca="false">CONVERT(G228,"m^2","ha")</f>
        <v>0.2577744</v>
      </c>
      <c r="K228" s="0" t="b">
        <f aca="false">IF(J228&gt;(I228*2),((ROUNDDOWN(J228/I228,0))-1))</f>
        <v>0</v>
      </c>
    </row>
    <row r="229" customFormat="false" ht="12.75" hidden="false" customHeight="false" outlineLevel="0" collapsed="false">
      <c r="A229" s="5" t="n">
        <v>272</v>
      </c>
      <c r="B229" s="6" t="s">
        <v>1245</v>
      </c>
      <c r="C229" s="6" t="s">
        <v>12</v>
      </c>
      <c r="D229" s="6" t="s">
        <v>1246</v>
      </c>
      <c r="E229" s="6" t="s">
        <v>14</v>
      </c>
      <c r="F229" s="6" t="n">
        <v>3894.293404855</v>
      </c>
      <c r="G229" s="6" t="n">
        <v>3894.293</v>
      </c>
      <c r="H229" s="6" t="s">
        <v>792</v>
      </c>
      <c r="I229" s="0" t="n">
        <v>0.4</v>
      </c>
      <c r="J229" s="0" t="n">
        <f aca="false">CONVERT(G229,"m^2","ha")</f>
        <v>0.3894293</v>
      </c>
      <c r="K229" s="0" t="b">
        <f aca="false">IF(J229&gt;(I229*2),((ROUNDDOWN(J229/I229,0))-1))</f>
        <v>0</v>
      </c>
    </row>
    <row r="230" customFormat="false" ht="12.75" hidden="false" customHeight="false" outlineLevel="0" collapsed="false">
      <c r="A230" s="5" t="n">
        <v>273</v>
      </c>
      <c r="B230" s="6" t="s">
        <v>1247</v>
      </c>
      <c r="C230" s="6" t="s">
        <v>12</v>
      </c>
      <c r="D230" s="6" t="s">
        <v>1248</v>
      </c>
      <c r="E230" s="6" t="s">
        <v>14</v>
      </c>
      <c r="F230" s="6" t="n">
        <v>2214.33170751</v>
      </c>
      <c r="G230" s="6" t="n">
        <v>2214.332</v>
      </c>
      <c r="H230" s="6" t="s">
        <v>792</v>
      </c>
      <c r="I230" s="0" t="n">
        <v>0.4</v>
      </c>
      <c r="J230" s="0" t="n">
        <f aca="false">CONVERT(G230,"m^2","ha")</f>
        <v>0.2214332</v>
      </c>
      <c r="K230" s="0" t="b">
        <f aca="false">IF(J230&gt;(I230*2),((ROUNDDOWN(J230/I230,0))-1))</f>
        <v>0</v>
      </c>
    </row>
    <row r="231" customFormat="false" ht="12.75" hidden="false" customHeight="false" outlineLevel="0" collapsed="false">
      <c r="A231" s="5" t="n">
        <v>274</v>
      </c>
      <c r="B231" s="6" t="s">
        <v>1249</v>
      </c>
      <c r="C231" s="6" t="s">
        <v>12</v>
      </c>
      <c r="D231" s="6" t="s">
        <v>1250</v>
      </c>
      <c r="E231" s="6" t="s">
        <v>14</v>
      </c>
      <c r="F231" s="6" t="n">
        <v>2033.563986405</v>
      </c>
      <c r="G231" s="6" t="n">
        <v>2033.564</v>
      </c>
      <c r="H231" s="6" t="s">
        <v>792</v>
      </c>
      <c r="I231" s="0" t="n">
        <v>0.4</v>
      </c>
      <c r="J231" s="0" t="n">
        <f aca="false">CONVERT(G231,"m^2","ha")</f>
        <v>0.2033564</v>
      </c>
      <c r="K231" s="0" t="b">
        <f aca="false">IF(J231&gt;(I231*2),((ROUNDDOWN(J231/I231,0))-1))</f>
        <v>0</v>
      </c>
    </row>
    <row r="232" customFormat="false" ht="12.75" hidden="false" customHeight="false" outlineLevel="0" collapsed="false">
      <c r="A232" s="5" t="n">
        <v>275</v>
      </c>
      <c r="B232" s="6" t="s">
        <v>1251</v>
      </c>
      <c r="C232" s="6" t="s">
        <v>12</v>
      </c>
      <c r="D232" s="6" t="s">
        <v>1252</v>
      </c>
      <c r="E232" s="6" t="s">
        <v>14</v>
      </c>
      <c r="F232" s="6" t="n">
        <v>1695.787381035</v>
      </c>
      <c r="G232" s="6" t="n">
        <v>1695.787</v>
      </c>
      <c r="H232" s="6" t="s">
        <v>792</v>
      </c>
      <c r="I232" s="0" t="n">
        <v>0.4</v>
      </c>
      <c r="J232" s="0" t="n">
        <f aca="false">CONVERT(G232,"m^2","ha")</f>
        <v>0.1695787</v>
      </c>
      <c r="K232" s="0" t="b">
        <f aca="false">IF(J232&gt;(I232*2),((ROUNDDOWN(J232/I232,0))-1))</f>
        <v>0</v>
      </c>
    </row>
    <row r="233" customFormat="false" ht="12.75" hidden="false" customHeight="false" outlineLevel="0" collapsed="false">
      <c r="A233" s="5" t="n">
        <v>276</v>
      </c>
      <c r="B233" s="6" t="s">
        <v>1253</v>
      </c>
      <c r="C233" s="6" t="s">
        <v>12</v>
      </c>
      <c r="D233" s="6" t="s">
        <v>1254</v>
      </c>
      <c r="E233" s="6" t="s">
        <v>14</v>
      </c>
      <c r="F233" s="6" t="n">
        <v>882.738743005</v>
      </c>
      <c r="G233" s="6" t="n">
        <v>882.739</v>
      </c>
      <c r="H233" s="6" t="s">
        <v>792</v>
      </c>
      <c r="I233" s="0" t="n">
        <v>0.4</v>
      </c>
      <c r="J233" s="0" t="n">
        <f aca="false">CONVERT(G233,"m^2","ha")</f>
        <v>0.0882739</v>
      </c>
      <c r="K233" s="0" t="b">
        <f aca="false">IF(J233&gt;(I233*2),((ROUNDDOWN(J233/I233,0))-1))</f>
        <v>0</v>
      </c>
    </row>
    <row r="234" customFormat="false" ht="12.75" hidden="false" customHeight="false" outlineLevel="0" collapsed="false">
      <c r="A234" s="5" t="n">
        <v>277</v>
      </c>
      <c r="B234" s="6" t="s">
        <v>1255</v>
      </c>
      <c r="C234" s="6" t="s">
        <v>12</v>
      </c>
      <c r="D234" s="6" t="s">
        <v>1256</v>
      </c>
      <c r="E234" s="6" t="s">
        <v>14</v>
      </c>
      <c r="F234" s="6" t="n">
        <v>2430.237125415</v>
      </c>
      <c r="G234" s="6" t="n">
        <v>2430.237</v>
      </c>
      <c r="H234" s="6" t="s">
        <v>792</v>
      </c>
      <c r="I234" s="0" t="n">
        <v>0.4</v>
      </c>
      <c r="J234" s="0" t="n">
        <f aca="false">CONVERT(G234,"m^2","ha")</f>
        <v>0.2430237</v>
      </c>
      <c r="K234" s="0" t="b">
        <f aca="false">IF(J234&gt;(I234*2),((ROUNDDOWN(J234/I234,0))-1))</f>
        <v>0</v>
      </c>
    </row>
    <row r="235" customFormat="false" ht="12.75" hidden="false" customHeight="false" outlineLevel="0" collapsed="false">
      <c r="A235" s="5" t="n">
        <v>280</v>
      </c>
      <c r="B235" s="6" t="s">
        <v>1257</v>
      </c>
      <c r="C235" s="6" t="s">
        <v>12</v>
      </c>
      <c r="D235" s="6" t="s">
        <v>1258</v>
      </c>
      <c r="E235" s="6" t="s">
        <v>14</v>
      </c>
      <c r="F235" s="6" t="n">
        <v>1833.799955835</v>
      </c>
      <c r="G235" s="6" t="n">
        <v>1833.8</v>
      </c>
      <c r="H235" s="6" t="s">
        <v>792</v>
      </c>
      <c r="I235" s="0" t="n">
        <v>0.4</v>
      </c>
      <c r="J235" s="0" t="n">
        <f aca="false">CONVERT(G235,"m^2","ha")</f>
        <v>0.18338</v>
      </c>
      <c r="K235" s="0" t="b">
        <f aca="false">IF(J235&gt;(I235*2),((ROUNDDOWN(J235/I235,0))-1))</f>
        <v>0</v>
      </c>
    </row>
    <row r="236" customFormat="false" ht="12.75" hidden="false" customHeight="false" outlineLevel="0" collapsed="false">
      <c r="A236" s="5" t="n">
        <v>282</v>
      </c>
      <c r="B236" s="6" t="s">
        <v>1259</v>
      </c>
      <c r="C236" s="6" t="s">
        <v>12</v>
      </c>
      <c r="D236" s="6" t="s">
        <v>1260</v>
      </c>
      <c r="E236" s="6" t="s">
        <v>14</v>
      </c>
      <c r="F236" s="6" t="n">
        <v>1739.76666082</v>
      </c>
      <c r="G236" s="6" t="n">
        <v>1739.767</v>
      </c>
      <c r="H236" s="6" t="s">
        <v>792</v>
      </c>
      <c r="I236" s="0" t="n">
        <v>0.4</v>
      </c>
      <c r="J236" s="0" t="n">
        <f aca="false">CONVERT(G236,"m^2","ha")</f>
        <v>0.1739767</v>
      </c>
      <c r="K236" s="0" t="b">
        <f aca="false">IF(J236&gt;(I236*2),((ROUNDDOWN(J236/I236,0))-1))</f>
        <v>0</v>
      </c>
    </row>
    <row r="237" customFormat="false" ht="12.75" hidden="false" customHeight="false" outlineLevel="0" collapsed="false">
      <c r="A237" s="5" t="n">
        <v>283</v>
      </c>
      <c r="B237" s="6" t="s">
        <v>1261</v>
      </c>
      <c r="C237" s="6" t="s">
        <v>12</v>
      </c>
      <c r="D237" s="6" t="s">
        <v>1262</v>
      </c>
      <c r="E237" s="6" t="s">
        <v>14</v>
      </c>
      <c r="F237" s="6" t="n">
        <v>1420.84954308</v>
      </c>
      <c r="G237" s="6" t="n">
        <v>1420.85</v>
      </c>
      <c r="H237" s="6" t="s">
        <v>792</v>
      </c>
      <c r="I237" s="0" t="n">
        <v>0.4</v>
      </c>
      <c r="J237" s="0" t="n">
        <f aca="false">CONVERT(G237,"m^2","ha")</f>
        <v>0.142085</v>
      </c>
      <c r="K237" s="0" t="b">
        <f aca="false">IF(J237&gt;(I237*2),((ROUNDDOWN(J237/I237,0))-1))</f>
        <v>0</v>
      </c>
    </row>
    <row r="238" customFormat="false" ht="12.75" hidden="false" customHeight="false" outlineLevel="0" collapsed="false">
      <c r="A238" s="5" t="n">
        <v>284</v>
      </c>
      <c r="B238" s="6" t="s">
        <v>1263</v>
      </c>
      <c r="C238" s="6" t="s">
        <v>12</v>
      </c>
      <c r="D238" s="6" t="s">
        <v>1264</v>
      </c>
      <c r="E238" s="6" t="s">
        <v>14</v>
      </c>
      <c r="F238" s="6" t="n">
        <v>1648.88380894</v>
      </c>
      <c r="G238" s="6" t="n">
        <v>1648.884</v>
      </c>
      <c r="H238" s="6" t="s">
        <v>792</v>
      </c>
      <c r="I238" s="0" t="n">
        <v>0.4</v>
      </c>
      <c r="J238" s="0" t="n">
        <f aca="false">CONVERT(G238,"m^2","ha")</f>
        <v>0.1648884</v>
      </c>
      <c r="K238" s="0" t="b">
        <f aca="false">IF(J238&gt;(I238*2),((ROUNDDOWN(J238/I238,0))-1))</f>
        <v>0</v>
      </c>
    </row>
    <row r="239" customFormat="false" ht="12.75" hidden="false" customHeight="false" outlineLevel="0" collapsed="false">
      <c r="A239" s="5" t="n">
        <v>285</v>
      </c>
      <c r="B239" s="6" t="s">
        <v>1265</v>
      </c>
      <c r="C239" s="6" t="s">
        <v>12</v>
      </c>
      <c r="D239" s="6" t="s">
        <v>1266</v>
      </c>
      <c r="E239" s="6" t="s">
        <v>14</v>
      </c>
      <c r="F239" s="6" t="n">
        <v>1481.076563075</v>
      </c>
      <c r="G239" s="6" t="n">
        <v>1481.077</v>
      </c>
      <c r="H239" s="6" t="s">
        <v>792</v>
      </c>
      <c r="I239" s="0" t="n">
        <v>0.4</v>
      </c>
      <c r="J239" s="0" t="n">
        <f aca="false">CONVERT(G239,"m^2","ha")</f>
        <v>0.1481077</v>
      </c>
      <c r="K239" s="0" t="b">
        <f aca="false">IF(J239&gt;(I239*2),((ROUNDDOWN(J239/I239,0))-1))</f>
        <v>0</v>
      </c>
    </row>
    <row r="240" customFormat="false" ht="12.75" hidden="false" customHeight="false" outlineLevel="0" collapsed="false">
      <c r="A240" s="5" t="n">
        <v>286</v>
      </c>
      <c r="B240" s="6" t="s">
        <v>1267</v>
      </c>
      <c r="C240" s="6" t="s">
        <v>89</v>
      </c>
      <c r="D240" s="6" t="s">
        <v>1268</v>
      </c>
      <c r="E240" s="6" t="s">
        <v>14</v>
      </c>
      <c r="F240" s="6" t="n">
        <v>4609.928009925</v>
      </c>
      <c r="G240" s="6" t="n">
        <v>4609.928</v>
      </c>
      <c r="H240" s="6" t="s">
        <v>792</v>
      </c>
      <c r="I240" s="0" t="n">
        <v>0.4</v>
      </c>
      <c r="J240" s="0" t="n">
        <f aca="false">CONVERT(G240,"m^2","ha")</f>
        <v>0.4609928</v>
      </c>
      <c r="K240" s="0" t="b">
        <f aca="false">IF(J240&gt;(I240*2),((ROUNDDOWN(J240/I240,0))-1))</f>
        <v>0</v>
      </c>
    </row>
    <row r="241" customFormat="false" ht="12.75" hidden="false" customHeight="false" outlineLevel="0" collapsed="false">
      <c r="A241" s="5" t="n">
        <v>287</v>
      </c>
      <c r="B241" s="6" t="s">
        <v>1269</v>
      </c>
      <c r="C241" s="6" t="s">
        <v>12</v>
      </c>
      <c r="D241" s="6" t="s">
        <v>1270</v>
      </c>
      <c r="E241" s="6" t="s">
        <v>14</v>
      </c>
      <c r="F241" s="6" t="n">
        <v>2226.168951235</v>
      </c>
      <c r="G241" s="6" t="n">
        <v>2226.169</v>
      </c>
      <c r="H241" s="6" t="s">
        <v>792</v>
      </c>
      <c r="I241" s="0" t="n">
        <v>0.4</v>
      </c>
      <c r="J241" s="0" t="n">
        <f aca="false">CONVERT(G241,"m^2","ha")</f>
        <v>0.2226169</v>
      </c>
      <c r="K241" s="0" t="b">
        <f aca="false">IF(J241&gt;(I241*2),((ROUNDDOWN(J241/I241,0))-1))</f>
        <v>0</v>
      </c>
    </row>
    <row r="242" customFormat="false" ht="12.75" hidden="false" customHeight="false" outlineLevel="0" collapsed="false">
      <c r="A242" s="5" t="n">
        <v>288</v>
      </c>
      <c r="B242" s="6" t="s">
        <v>1271</v>
      </c>
      <c r="C242" s="6" t="s">
        <v>12</v>
      </c>
      <c r="D242" s="6" t="s">
        <v>1272</v>
      </c>
      <c r="E242" s="6" t="s">
        <v>14</v>
      </c>
      <c r="F242" s="6" t="n">
        <v>10007.417931165</v>
      </c>
      <c r="G242" s="6" t="n">
        <v>10007.418</v>
      </c>
      <c r="H242" s="6" t="s">
        <v>792</v>
      </c>
      <c r="I242" s="0" t="n">
        <v>0.4</v>
      </c>
      <c r="J242" s="0" t="n">
        <f aca="false">CONVERT(G242,"m^2","ha")</f>
        <v>1.0007418</v>
      </c>
      <c r="K242" s="0" t="n">
        <f aca="false">IF(J242&gt;(I242*2),((ROUNDDOWN(J242/I242,0))-1))</f>
        <v>1</v>
      </c>
    </row>
    <row r="243" customFormat="false" ht="12.75" hidden="false" customHeight="false" outlineLevel="0" collapsed="false">
      <c r="A243" s="5" t="n">
        <v>289</v>
      </c>
      <c r="B243" s="6" t="s">
        <v>1273</v>
      </c>
      <c r="C243" s="6" t="s">
        <v>12</v>
      </c>
      <c r="D243" s="6" t="s">
        <v>1274</v>
      </c>
      <c r="E243" s="6" t="s">
        <v>14</v>
      </c>
      <c r="F243" s="6" t="n">
        <v>2770.40442853</v>
      </c>
      <c r="G243" s="6" t="n">
        <v>2770.049</v>
      </c>
      <c r="H243" s="6" t="s">
        <v>792</v>
      </c>
      <c r="I243" s="0" t="n">
        <v>0.4</v>
      </c>
      <c r="J243" s="0" t="n">
        <f aca="false">CONVERT(G243,"m^2","ha")</f>
        <v>0.2770049</v>
      </c>
      <c r="K243" s="0" t="b">
        <f aca="false">IF(J243&gt;(I243*2),((ROUNDDOWN(J243/I243,0))-1))</f>
        <v>0</v>
      </c>
    </row>
    <row r="244" customFormat="false" ht="12.75" hidden="false" customHeight="false" outlineLevel="0" collapsed="false">
      <c r="A244" s="5" t="n">
        <v>290</v>
      </c>
      <c r="B244" s="6" t="s">
        <v>1275</v>
      </c>
      <c r="C244" s="6" t="s">
        <v>12</v>
      </c>
      <c r="D244" s="6" t="s">
        <v>1276</v>
      </c>
      <c r="E244" s="6" t="s">
        <v>14</v>
      </c>
      <c r="F244" s="6" t="n">
        <v>2370.03631885</v>
      </c>
      <c r="G244" s="6" t="n">
        <v>2370.036</v>
      </c>
      <c r="H244" s="6" t="s">
        <v>792</v>
      </c>
      <c r="I244" s="0" t="n">
        <v>0.4</v>
      </c>
      <c r="J244" s="0" t="n">
        <f aca="false">CONVERT(G244,"m^2","ha")</f>
        <v>0.2370036</v>
      </c>
      <c r="K244" s="0" t="b">
        <f aca="false">IF(J244&gt;(I244*2),((ROUNDDOWN(J244/I244,0))-1))</f>
        <v>0</v>
      </c>
    </row>
    <row r="245" customFormat="false" ht="12.75" hidden="false" customHeight="false" outlineLevel="0" collapsed="false">
      <c r="A245" s="5" t="n">
        <v>291</v>
      </c>
      <c r="B245" s="6" t="s">
        <v>1277</v>
      </c>
      <c r="C245" s="6" t="s">
        <v>12</v>
      </c>
      <c r="D245" s="6" t="s">
        <v>1278</v>
      </c>
      <c r="E245" s="6" t="s">
        <v>14</v>
      </c>
      <c r="F245" s="6" t="n">
        <v>816.270980715</v>
      </c>
      <c r="G245" s="6" t="n">
        <v>816.271</v>
      </c>
      <c r="H245" s="6" t="s">
        <v>792</v>
      </c>
      <c r="I245" s="0" t="n">
        <v>0.4</v>
      </c>
      <c r="J245" s="0" t="n">
        <f aca="false">CONVERT(G245,"m^2","ha")</f>
        <v>0.0816271</v>
      </c>
      <c r="K245" s="0" t="b">
        <f aca="false">IF(J245&gt;(I245*2),((ROUNDDOWN(J245/I245,0))-1))</f>
        <v>0</v>
      </c>
    </row>
    <row r="246" customFormat="false" ht="12.75" hidden="false" customHeight="false" outlineLevel="0" collapsed="false">
      <c r="A246" s="5" t="n">
        <v>292</v>
      </c>
      <c r="B246" s="6" t="s">
        <v>1279</v>
      </c>
      <c r="C246" s="6" t="s">
        <v>89</v>
      </c>
      <c r="D246" s="6" t="s">
        <v>1280</v>
      </c>
      <c r="E246" s="6" t="s">
        <v>14</v>
      </c>
      <c r="F246" s="6" t="n">
        <v>1409.745087555</v>
      </c>
      <c r="G246" s="6" t="n">
        <v>1409.745</v>
      </c>
      <c r="H246" s="6" t="s">
        <v>792</v>
      </c>
      <c r="I246" s="0" t="n">
        <v>0.4</v>
      </c>
      <c r="J246" s="0" t="n">
        <f aca="false">CONVERT(G246,"m^2","ha")</f>
        <v>0.1409745</v>
      </c>
      <c r="K246" s="0" t="b">
        <f aca="false">IF(J246&gt;(I246*2),((ROUNDDOWN(J246/I246,0))-1))</f>
        <v>0</v>
      </c>
    </row>
    <row r="247" customFormat="false" ht="12.75" hidden="false" customHeight="false" outlineLevel="0" collapsed="false">
      <c r="A247" s="5" t="n">
        <v>293</v>
      </c>
      <c r="B247" s="6" t="s">
        <v>1281</v>
      </c>
      <c r="C247" s="6" t="s">
        <v>12</v>
      </c>
      <c r="D247" s="6" t="s">
        <v>1282</v>
      </c>
      <c r="E247" s="6" t="s">
        <v>14</v>
      </c>
      <c r="F247" s="6" t="n">
        <v>1153.20140685</v>
      </c>
      <c r="G247" s="6" t="n">
        <v>1153.201</v>
      </c>
      <c r="H247" s="6" t="s">
        <v>792</v>
      </c>
      <c r="I247" s="0" t="n">
        <v>0.4</v>
      </c>
      <c r="J247" s="0" t="n">
        <f aca="false">CONVERT(G247,"m^2","ha")</f>
        <v>0.1153201</v>
      </c>
      <c r="K247" s="0" t="b">
        <f aca="false">IF(J247&gt;(I247*2),((ROUNDDOWN(J247/I247,0))-1))</f>
        <v>0</v>
      </c>
    </row>
    <row r="248" customFormat="false" ht="12.75" hidden="false" customHeight="false" outlineLevel="0" collapsed="false">
      <c r="A248" s="5" t="n">
        <v>294</v>
      </c>
      <c r="B248" s="6" t="s">
        <v>1283</v>
      </c>
      <c r="C248" s="6" t="s">
        <v>12</v>
      </c>
      <c r="D248" s="6" t="s">
        <v>1284</v>
      </c>
      <c r="E248" s="6" t="s">
        <v>14</v>
      </c>
      <c r="F248" s="6" t="n">
        <v>1393.2594441</v>
      </c>
      <c r="G248" s="6" t="n">
        <v>1393.259</v>
      </c>
      <c r="H248" s="6" t="s">
        <v>792</v>
      </c>
      <c r="I248" s="0" t="n">
        <v>0.4</v>
      </c>
      <c r="J248" s="0" t="n">
        <f aca="false">CONVERT(G248,"m^2","ha")</f>
        <v>0.1393259</v>
      </c>
      <c r="K248" s="0" t="b">
        <f aca="false">IF(J248&gt;(I248*2),((ROUNDDOWN(J248/I248,0))-1))</f>
        <v>0</v>
      </c>
    </row>
    <row r="249" customFormat="false" ht="12.75" hidden="false" customHeight="false" outlineLevel="0" collapsed="false">
      <c r="A249" s="5" t="n">
        <v>295</v>
      </c>
      <c r="B249" s="6" t="s">
        <v>1285</v>
      </c>
      <c r="C249" s="6" t="s">
        <v>12</v>
      </c>
      <c r="D249" s="6" t="s">
        <v>1286</v>
      </c>
      <c r="E249" s="6" t="s">
        <v>14</v>
      </c>
      <c r="F249" s="6" t="n">
        <v>3381.910683335</v>
      </c>
      <c r="G249" s="6" t="n">
        <v>3381.911</v>
      </c>
      <c r="H249" s="6" t="s">
        <v>792</v>
      </c>
      <c r="I249" s="0" t="n">
        <v>0.4</v>
      </c>
      <c r="J249" s="0" t="n">
        <f aca="false">CONVERT(G249,"m^2","ha")</f>
        <v>0.3381911</v>
      </c>
      <c r="K249" s="0" t="b">
        <f aca="false">IF(J249&gt;(I249*2),((ROUNDDOWN(J249/I249,0))-1))</f>
        <v>0</v>
      </c>
    </row>
    <row r="250" customFormat="false" ht="12.75" hidden="false" customHeight="false" outlineLevel="0" collapsed="false">
      <c r="A250" s="5" t="n">
        <v>296</v>
      </c>
      <c r="B250" s="6" t="s">
        <v>1287</v>
      </c>
      <c r="C250" s="6" t="s">
        <v>12</v>
      </c>
      <c r="D250" s="6" t="s">
        <v>1288</v>
      </c>
      <c r="E250" s="6" t="s">
        <v>14</v>
      </c>
      <c r="F250" s="6" t="n">
        <v>1273.749639365</v>
      </c>
      <c r="G250" s="6" t="n">
        <v>1273.75</v>
      </c>
      <c r="H250" s="6" t="s">
        <v>792</v>
      </c>
      <c r="I250" s="0" t="n">
        <v>0.4</v>
      </c>
      <c r="J250" s="0" t="n">
        <f aca="false">CONVERT(G250,"m^2","ha")</f>
        <v>0.127375</v>
      </c>
      <c r="K250" s="0" t="b">
        <f aca="false">IF(J250&gt;(I250*2),((ROUNDDOWN(J250/I250,0))-1))</f>
        <v>0</v>
      </c>
    </row>
    <row r="251" customFormat="false" ht="12.75" hidden="false" customHeight="false" outlineLevel="0" collapsed="false">
      <c r="A251" s="5" t="n">
        <v>297</v>
      </c>
      <c r="B251" s="6" t="s">
        <v>1289</v>
      </c>
      <c r="C251" s="6" t="s">
        <v>12</v>
      </c>
      <c r="D251" s="6" t="s">
        <v>1290</v>
      </c>
      <c r="E251" s="6" t="s">
        <v>14</v>
      </c>
      <c r="F251" s="6" t="n">
        <v>1474.724539135</v>
      </c>
      <c r="G251" s="6" t="n">
        <v>1474.725</v>
      </c>
      <c r="H251" s="6" t="s">
        <v>792</v>
      </c>
      <c r="I251" s="0" t="n">
        <v>0.4</v>
      </c>
      <c r="J251" s="0" t="n">
        <f aca="false">CONVERT(G251,"m^2","ha")</f>
        <v>0.1474725</v>
      </c>
      <c r="K251" s="0" t="b">
        <f aca="false">IF(J251&gt;(I251*2),((ROUNDDOWN(J251/I251,0))-1))</f>
        <v>0</v>
      </c>
    </row>
    <row r="252" customFormat="false" ht="12.75" hidden="false" customHeight="false" outlineLevel="0" collapsed="false">
      <c r="A252" s="5" t="n">
        <v>298</v>
      </c>
      <c r="B252" s="6" t="s">
        <v>1291</v>
      </c>
      <c r="C252" s="6" t="s">
        <v>12</v>
      </c>
      <c r="D252" s="6" t="s">
        <v>1292</v>
      </c>
      <c r="E252" s="6" t="s">
        <v>14</v>
      </c>
      <c r="F252" s="6" t="n">
        <v>10382.884780325</v>
      </c>
      <c r="G252" s="6" t="n">
        <v>10382.885</v>
      </c>
      <c r="H252" s="6" t="s">
        <v>792</v>
      </c>
      <c r="I252" s="0" t="n">
        <v>0.4</v>
      </c>
      <c r="J252" s="0" t="n">
        <f aca="false">CONVERT(G252,"m^2","ha")</f>
        <v>1.0382885</v>
      </c>
      <c r="K252" s="0" t="n">
        <f aca="false">IF(J252&gt;(I252*2),((ROUNDDOWN(J252/I252,0))-1))</f>
        <v>1</v>
      </c>
    </row>
    <row r="253" customFormat="false" ht="12.75" hidden="false" customHeight="false" outlineLevel="0" collapsed="false">
      <c r="A253" s="5" t="n">
        <v>299</v>
      </c>
      <c r="B253" s="6" t="s">
        <v>1293</v>
      </c>
      <c r="C253" s="6" t="s">
        <v>12</v>
      </c>
      <c r="D253" s="6" t="s">
        <v>1294</v>
      </c>
      <c r="E253" s="6" t="s">
        <v>14</v>
      </c>
      <c r="F253" s="6" t="n">
        <v>2148.852690685</v>
      </c>
      <c r="G253" s="6" t="n">
        <v>2148.853</v>
      </c>
      <c r="H253" s="6" t="s">
        <v>792</v>
      </c>
      <c r="I253" s="0" t="n">
        <v>0.4</v>
      </c>
      <c r="J253" s="0" t="n">
        <f aca="false">CONVERT(G253,"m^2","ha")</f>
        <v>0.2148853</v>
      </c>
      <c r="K253" s="0" t="b">
        <f aca="false">IF(J253&gt;(I253*2),((ROUNDDOWN(J253/I253,0))-1))</f>
        <v>0</v>
      </c>
    </row>
    <row r="254" customFormat="false" ht="12.75" hidden="false" customHeight="false" outlineLevel="0" collapsed="false">
      <c r="A254" s="5" t="n">
        <v>300</v>
      </c>
      <c r="B254" s="6" t="s">
        <v>1295</v>
      </c>
      <c r="C254" s="6" t="s">
        <v>12</v>
      </c>
      <c r="D254" s="6" t="s">
        <v>1296</v>
      </c>
      <c r="E254" s="6" t="s">
        <v>14</v>
      </c>
      <c r="F254" s="6" t="n">
        <v>3922.816765105</v>
      </c>
      <c r="G254" s="6" t="n">
        <v>3922.615</v>
      </c>
      <c r="H254" s="6" t="s">
        <v>792</v>
      </c>
      <c r="I254" s="0" t="n">
        <v>0.4</v>
      </c>
      <c r="J254" s="0" t="n">
        <f aca="false">CONVERT(G254,"m^2","ha")</f>
        <v>0.3922615</v>
      </c>
      <c r="K254" s="0" t="b">
        <f aca="false">IF(J254&gt;(I254*2),((ROUNDDOWN(J254/I254,0))-1))</f>
        <v>0</v>
      </c>
    </row>
    <row r="255" customFormat="false" ht="12.75" hidden="false" customHeight="false" outlineLevel="0" collapsed="false">
      <c r="A255" s="5" t="n">
        <v>302</v>
      </c>
      <c r="B255" s="6" t="s">
        <v>1297</v>
      </c>
      <c r="C255" s="6" t="s">
        <v>12</v>
      </c>
      <c r="D255" s="6" t="s">
        <v>1298</v>
      </c>
      <c r="E255" s="6" t="s">
        <v>14</v>
      </c>
      <c r="F255" s="6" t="n">
        <v>1446.69138459</v>
      </c>
      <c r="G255" s="6" t="n">
        <v>1446.691</v>
      </c>
      <c r="H255" s="6" t="s">
        <v>792</v>
      </c>
      <c r="I255" s="0" t="n">
        <v>0.4</v>
      </c>
      <c r="J255" s="0" t="n">
        <f aca="false">CONVERT(G255,"m^2","ha")</f>
        <v>0.1446691</v>
      </c>
      <c r="K255" s="0" t="b">
        <f aca="false">IF(J255&gt;(I255*2),((ROUNDDOWN(J255/I255,0))-1))</f>
        <v>0</v>
      </c>
    </row>
    <row r="256" customFormat="false" ht="12.75" hidden="false" customHeight="false" outlineLevel="0" collapsed="false">
      <c r="A256" s="5" t="n">
        <v>303</v>
      </c>
      <c r="B256" s="6" t="s">
        <v>1299</v>
      </c>
      <c r="C256" s="6" t="s">
        <v>12</v>
      </c>
      <c r="D256" s="6" t="s">
        <v>1300</v>
      </c>
      <c r="E256" s="6" t="s">
        <v>14</v>
      </c>
      <c r="F256" s="6" t="n">
        <v>1480.97375544</v>
      </c>
      <c r="G256" s="6" t="n">
        <v>1480.974</v>
      </c>
      <c r="H256" s="6" t="s">
        <v>792</v>
      </c>
      <c r="I256" s="0" t="n">
        <v>0.4</v>
      </c>
      <c r="J256" s="0" t="n">
        <f aca="false">CONVERT(G256,"m^2","ha")</f>
        <v>0.1480974</v>
      </c>
      <c r="K256" s="0" t="b">
        <f aca="false">IF(J256&gt;(I256*2),((ROUNDDOWN(J256/I256,0))-1))</f>
        <v>0</v>
      </c>
    </row>
    <row r="257" customFormat="false" ht="12.75" hidden="false" customHeight="false" outlineLevel="0" collapsed="false">
      <c r="A257" s="5" t="n">
        <v>304</v>
      </c>
      <c r="B257" s="6" t="s">
        <v>1301</v>
      </c>
      <c r="C257" s="6" t="s">
        <v>12</v>
      </c>
      <c r="D257" s="6" t="s">
        <v>1302</v>
      </c>
      <c r="E257" s="6" t="s">
        <v>14</v>
      </c>
      <c r="F257" s="6" t="n">
        <v>2276.678858165</v>
      </c>
      <c r="G257" s="6" t="n">
        <v>2276.679</v>
      </c>
      <c r="H257" s="6" t="s">
        <v>792</v>
      </c>
      <c r="I257" s="0" t="n">
        <v>0.4</v>
      </c>
      <c r="J257" s="0" t="n">
        <f aca="false">CONVERT(G257,"m^2","ha")</f>
        <v>0.2276679</v>
      </c>
      <c r="K257" s="0" t="b">
        <f aca="false">IF(J257&gt;(I257*2),((ROUNDDOWN(J257/I257,0))-1))</f>
        <v>0</v>
      </c>
    </row>
    <row r="258" customFormat="false" ht="12.75" hidden="false" customHeight="false" outlineLevel="0" collapsed="false">
      <c r="A258" s="5" t="n">
        <v>305</v>
      </c>
      <c r="B258" s="6" t="s">
        <v>1303</v>
      </c>
      <c r="C258" s="6" t="s">
        <v>89</v>
      </c>
      <c r="D258" s="6" t="s">
        <v>1304</v>
      </c>
      <c r="E258" s="6" t="s">
        <v>14</v>
      </c>
      <c r="F258" s="6" t="n">
        <v>2228.762581465</v>
      </c>
      <c r="G258" s="6" t="n">
        <v>2228.763</v>
      </c>
      <c r="H258" s="6" t="s">
        <v>792</v>
      </c>
      <c r="I258" s="0" t="n">
        <v>0.4</v>
      </c>
      <c r="J258" s="0" t="n">
        <f aca="false">CONVERT(G258,"m^2","ha")</f>
        <v>0.2228763</v>
      </c>
      <c r="K258" s="0" t="b">
        <f aca="false">IF(J258&gt;(I258*2),((ROUNDDOWN(J258/I258,0))-1))</f>
        <v>0</v>
      </c>
    </row>
    <row r="259" customFormat="false" ht="12.75" hidden="false" customHeight="false" outlineLevel="0" collapsed="false">
      <c r="A259" s="5" t="n">
        <v>306</v>
      </c>
      <c r="B259" s="6" t="s">
        <v>1305</v>
      </c>
      <c r="C259" s="6" t="s">
        <v>12</v>
      </c>
      <c r="D259" s="6" t="s">
        <v>1306</v>
      </c>
      <c r="E259" s="6" t="s">
        <v>14</v>
      </c>
      <c r="F259" s="6" t="n">
        <v>1222.467922635</v>
      </c>
      <c r="G259" s="6" t="n">
        <v>1222.468</v>
      </c>
      <c r="H259" s="6" t="s">
        <v>792</v>
      </c>
      <c r="I259" s="0" t="n">
        <v>0.4</v>
      </c>
      <c r="J259" s="0" t="n">
        <f aca="false">CONVERT(G259,"m^2","ha")</f>
        <v>0.1222468</v>
      </c>
      <c r="K259" s="0" t="b">
        <f aca="false">IF(J259&gt;(I259*2),((ROUNDDOWN(J259/I259,0))-1))</f>
        <v>0</v>
      </c>
    </row>
    <row r="260" customFormat="false" ht="12.75" hidden="false" customHeight="false" outlineLevel="0" collapsed="false">
      <c r="A260" s="5" t="n">
        <v>307</v>
      </c>
      <c r="B260" s="6" t="s">
        <v>1307</v>
      </c>
      <c r="C260" s="6" t="s">
        <v>12</v>
      </c>
      <c r="D260" s="6" t="s">
        <v>1308</v>
      </c>
      <c r="E260" s="6" t="s">
        <v>14</v>
      </c>
      <c r="F260" s="6" t="n">
        <v>2269.11455868</v>
      </c>
      <c r="G260" s="6" t="n">
        <v>2269.115</v>
      </c>
      <c r="H260" s="6" t="s">
        <v>792</v>
      </c>
      <c r="I260" s="0" t="n">
        <v>0.4</v>
      </c>
      <c r="J260" s="0" t="n">
        <f aca="false">CONVERT(G260,"m^2","ha")</f>
        <v>0.2269115</v>
      </c>
      <c r="K260" s="0" t="b">
        <f aca="false">IF(J260&gt;(I260*2),((ROUNDDOWN(J260/I260,0))-1))</f>
        <v>0</v>
      </c>
    </row>
    <row r="261" customFormat="false" ht="12.75" hidden="false" customHeight="false" outlineLevel="0" collapsed="false">
      <c r="A261" s="5" t="n">
        <v>308</v>
      </c>
      <c r="B261" s="6" t="s">
        <v>1309</v>
      </c>
      <c r="C261" s="6" t="s">
        <v>12</v>
      </c>
      <c r="D261" s="6" t="s">
        <v>1310</v>
      </c>
      <c r="E261" s="6" t="s">
        <v>14</v>
      </c>
      <c r="F261" s="6" t="n">
        <v>2412.40097816</v>
      </c>
      <c r="G261" s="6" t="n">
        <v>2412.401</v>
      </c>
      <c r="H261" s="6" t="s">
        <v>792</v>
      </c>
      <c r="I261" s="0" t="n">
        <v>0.4</v>
      </c>
      <c r="J261" s="0" t="n">
        <f aca="false">CONVERT(G261,"m^2","ha")</f>
        <v>0.2412401</v>
      </c>
      <c r="K261" s="0" t="b">
        <f aca="false">IF(J261&gt;(I261*2),((ROUNDDOWN(J261/I261,0))-1))</f>
        <v>0</v>
      </c>
    </row>
    <row r="262" customFormat="false" ht="12.75" hidden="false" customHeight="false" outlineLevel="0" collapsed="false">
      <c r="A262" s="5" t="n">
        <v>309</v>
      </c>
      <c r="B262" s="6" t="s">
        <v>1311</v>
      </c>
      <c r="C262" s="6" t="s">
        <v>89</v>
      </c>
      <c r="D262" s="6" t="s">
        <v>1312</v>
      </c>
      <c r="E262" s="6" t="s">
        <v>14</v>
      </c>
      <c r="F262" s="6" t="n">
        <v>4849.65393068</v>
      </c>
      <c r="G262" s="6" t="n">
        <v>4848.617</v>
      </c>
      <c r="H262" s="6" t="s">
        <v>792</v>
      </c>
      <c r="I262" s="0" t="n">
        <v>0.4</v>
      </c>
      <c r="J262" s="0" t="n">
        <f aca="false">CONVERT(G262,"m^2","ha")</f>
        <v>0.4848617</v>
      </c>
      <c r="K262" s="0" t="b">
        <f aca="false">IF(J262&gt;(I262*2),((ROUNDDOWN(J262/I262,0))-1))</f>
        <v>0</v>
      </c>
    </row>
    <row r="263" customFormat="false" ht="12.75" hidden="false" customHeight="false" outlineLevel="0" collapsed="false">
      <c r="A263" s="5" t="n">
        <v>312</v>
      </c>
      <c r="B263" s="6" t="s">
        <v>1313</v>
      </c>
      <c r="C263" s="6" t="s">
        <v>12</v>
      </c>
      <c r="D263" s="6" t="s">
        <v>1314</v>
      </c>
      <c r="E263" s="6" t="s">
        <v>14</v>
      </c>
      <c r="F263" s="6" t="n">
        <v>3021.962653435</v>
      </c>
      <c r="G263" s="6" t="n">
        <v>3021.963</v>
      </c>
      <c r="H263" s="6" t="s">
        <v>792</v>
      </c>
      <c r="I263" s="0" t="n">
        <v>0.4</v>
      </c>
      <c r="J263" s="0" t="n">
        <f aca="false">CONVERT(G263,"m^2","ha")</f>
        <v>0.3021963</v>
      </c>
      <c r="K263" s="0" t="b">
        <f aca="false">IF(J263&gt;(I263*2),((ROUNDDOWN(J263/I263,0))-1))</f>
        <v>0</v>
      </c>
    </row>
    <row r="264" customFormat="false" ht="12.75" hidden="false" customHeight="false" outlineLevel="0" collapsed="false">
      <c r="A264" s="5" t="n">
        <v>313</v>
      </c>
      <c r="B264" s="6" t="s">
        <v>1315</v>
      </c>
      <c r="C264" s="6" t="s">
        <v>12</v>
      </c>
      <c r="D264" s="6" t="s">
        <v>1316</v>
      </c>
      <c r="E264" s="6" t="s">
        <v>14</v>
      </c>
      <c r="F264" s="6" t="n">
        <v>789.412578335</v>
      </c>
      <c r="G264" s="6" t="n">
        <v>789.413</v>
      </c>
      <c r="H264" s="6" t="s">
        <v>792</v>
      </c>
      <c r="I264" s="0" t="n">
        <v>0.4</v>
      </c>
      <c r="J264" s="0" t="n">
        <f aca="false">CONVERT(G264,"m^2","ha")</f>
        <v>0.0789413</v>
      </c>
      <c r="K264" s="0" t="b">
        <f aca="false">IF(J264&gt;(I264*2),((ROUNDDOWN(J264/I264,0))-1))</f>
        <v>0</v>
      </c>
    </row>
    <row r="265" customFormat="false" ht="12.75" hidden="false" customHeight="false" outlineLevel="0" collapsed="false">
      <c r="A265" s="5" t="n">
        <v>314</v>
      </c>
      <c r="B265" s="6" t="s">
        <v>1317</v>
      </c>
      <c r="C265" s="6" t="s">
        <v>89</v>
      </c>
      <c r="D265" s="6" t="s">
        <v>1318</v>
      </c>
      <c r="E265" s="6" t="s">
        <v>14</v>
      </c>
      <c r="F265" s="6" t="n">
        <v>2334.31914418</v>
      </c>
      <c r="G265" s="6" t="n">
        <v>2334.319</v>
      </c>
      <c r="H265" s="6" t="s">
        <v>792</v>
      </c>
      <c r="I265" s="0" t="n">
        <v>0.4</v>
      </c>
      <c r="J265" s="0" t="n">
        <f aca="false">CONVERT(G265,"m^2","ha")</f>
        <v>0.2334319</v>
      </c>
      <c r="K265" s="0" t="b">
        <f aca="false">IF(J265&gt;(I265*2),((ROUNDDOWN(J265/I265,0))-1))</f>
        <v>0</v>
      </c>
    </row>
    <row r="266" customFormat="false" ht="12.75" hidden="false" customHeight="false" outlineLevel="0" collapsed="false">
      <c r="A266" s="5" t="n">
        <v>315</v>
      </c>
      <c r="B266" s="6" t="s">
        <v>1319</v>
      </c>
      <c r="C266" s="6" t="s">
        <v>12</v>
      </c>
      <c r="D266" s="6" t="s">
        <v>1320</v>
      </c>
      <c r="E266" s="6" t="s">
        <v>14</v>
      </c>
      <c r="F266" s="6" t="n">
        <v>916.66291276</v>
      </c>
      <c r="G266" s="6" t="n">
        <v>916.663</v>
      </c>
      <c r="H266" s="6" t="s">
        <v>792</v>
      </c>
      <c r="I266" s="0" t="n">
        <v>0.4</v>
      </c>
      <c r="J266" s="0" t="n">
        <f aca="false">CONVERT(G266,"m^2","ha")</f>
        <v>0.0916663</v>
      </c>
      <c r="K266" s="0" t="b">
        <f aca="false">IF(J266&gt;(I266*2),((ROUNDDOWN(J266/I266,0))-1))</f>
        <v>0</v>
      </c>
    </row>
    <row r="267" customFormat="false" ht="12.75" hidden="false" customHeight="false" outlineLevel="0" collapsed="false">
      <c r="A267" s="5" t="n">
        <v>317</v>
      </c>
      <c r="B267" s="6" t="s">
        <v>1321</v>
      </c>
      <c r="C267" s="6" t="s">
        <v>89</v>
      </c>
      <c r="D267" s="6" t="s">
        <v>1322</v>
      </c>
      <c r="E267" s="6" t="s">
        <v>14</v>
      </c>
      <c r="F267" s="6" t="n">
        <v>2413.13738959</v>
      </c>
      <c r="G267" s="6" t="n">
        <v>2413.137</v>
      </c>
      <c r="H267" s="6" t="s">
        <v>792</v>
      </c>
      <c r="I267" s="0" t="n">
        <v>0.4</v>
      </c>
      <c r="J267" s="0" t="n">
        <f aca="false">CONVERT(G267,"m^2","ha")</f>
        <v>0.2413137</v>
      </c>
      <c r="K267" s="0" t="b">
        <f aca="false">IF(J267&gt;(I267*2),((ROUNDDOWN(J267/I267,0))-1))</f>
        <v>0</v>
      </c>
    </row>
    <row r="268" customFormat="false" ht="12.75" hidden="false" customHeight="false" outlineLevel="0" collapsed="false">
      <c r="A268" s="5" t="n">
        <v>318</v>
      </c>
      <c r="B268" s="6" t="s">
        <v>1323</v>
      </c>
      <c r="C268" s="6" t="s">
        <v>12</v>
      </c>
      <c r="D268" s="6" t="s">
        <v>1324</v>
      </c>
      <c r="E268" s="6" t="s">
        <v>14</v>
      </c>
      <c r="F268" s="6" t="n">
        <v>889.23327735</v>
      </c>
      <c r="G268" s="6" t="n">
        <v>889.233</v>
      </c>
      <c r="H268" s="6" t="s">
        <v>792</v>
      </c>
      <c r="I268" s="0" t="n">
        <v>0.4</v>
      </c>
      <c r="J268" s="0" t="n">
        <f aca="false">CONVERT(G268,"m^2","ha")</f>
        <v>0.0889233</v>
      </c>
      <c r="K268" s="0" t="b">
        <f aca="false">IF(J268&gt;(I268*2),((ROUNDDOWN(J268/I268,0))-1))</f>
        <v>0</v>
      </c>
    </row>
    <row r="269" customFormat="false" ht="12.75" hidden="false" customHeight="false" outlineLevel="0" collapsed="false">
      <c r="A269" s="5" t="n">
        <v>319</v>
      </c>
      <c r="B269" s="6" t="s">
        <v>1325</v>
      </c>
      <c r="C269" s="6" t="s">
        <v>89</v>
      </c>
      <c r="D269" s="6" t="s">
        <v>1326</v>
      </c>
      <c r="E269" s="6" t="s">
        <v>14</v>
      </c>
      <c r="F269" s="6" t="n">
        <v>2539.19915287</v>
      </c>
      <c r="G269" s="6" t="n">
        <v>2539.199</v>
      </c>
      <c r="H269" s="6" t="s">
        <v>792</v>
      </c>
      <c r="I269" s="0" t="n">
        <v>0.4</v>
      </c>
      <c r="J269" s="0" t="n">
        <f aca="false">CONVERT(G269,"m^2","ha")</f>
        <v>0.2539199</v>
      </c>
      <c r="K269" s="0" t="b">
        <f aca="false">IF(J269&gt;(I269*2),((ROUNDDOWN(J269/I269,0))-1))</f>
        <v>0</v>
      </c>
    </row>
    <row r="270" customFormat="false" ht="12.75" hidden="false" customHeight="false" outlineLevel="0" collapsed="false">
      <c r="A270" s="5" t="n">
        <v>320</v>
      </c>
      <c r="B270" s="6" t="s">
        <v>1327</v>
      </c>
      <c r="C270" s="6" t="s">
        <v>12</v>
      </c>
      <c r="D270" s="6" t="s">
        <v>1328</v>
      </c>
      <c r="E270" s="6" t="s">
        <v>14</v>
      </c>
      <c r="F270" s="6" t="n">
        <v>9646.30796578</v>
      </c>
      <c r="G270" s="6" t="n">
        <v>9646.308</v>
      </c>
      <c r="H270" s="6" t="s">
        <v>792</v>
      </c>
      <c r="I270" s="0" t="n">
        <v>0.4</v>
      </c>
      <c r="J270" s="0" t="n">
        <f aca="false">CONVERT(G270,"m^2","ha")</f>
        <v>0.9646308</v>
      </c>
      <c r="K270" s="0" t="n">
        <f aca="false">IF(J270&gt;(I270*2),((ROUNDDOWN(J270/I270,0))-1))</f>
        <v>1</v>
      </c>
    </row>
    <row r="271" customFormat="false" ht="12.75" hidden="false" customHeight="false" outlineLevel="0" collapsed="false">
      <c r="A271" s="5" t="n">
        <v>321</v>
      </c>
      <c r="B271" s="6" t="s">
        <v>1329</v>
      </c>
      <c r="C271" s="6" t="s">
        <v>12</v>
      </c>
      <c r="D271" s="6" t="s">
        <v>1330</v>
      </c>
      <c r="E271" s="6" t="s">
        <v>14</v>
      </c>
      <c r="F271" s="6" t="n">
        <v>1679.79045603</v>
      </c>
      <c r="G271" s="6" t="n">
        <v>1679.79</v>
      </c>
      <c r="H271" s="6" t="s">
        <v>792</v>
      </c>
      <c r="I271" s="0" t="n">
        <v>0.4</v>
      </c>
      <c r="J271" s="0" t="n">
        <f aca="false">CONVERT(G271,"m^2","ha")</f>
        <v>0.167979</v>
      </c>
      <c r="K271" s="0" t="b">
        <f aca="false">IF(J271&gt;(I271*2),((ROUNDDOWN(J271/I271,0))-1))</f>
        <v>0</v>
      </c>
    </row>
    <row r="272" customFormat="false" ht="12.75" hidden="false" customHeight="false" outlineLevel="0" collapsed="false">
      <c r="A272" s="5" t="n">
        <v>322</v>
      </c>
      <c r="B272" s="6" t="s">
        <v>1331</v>
      </c>
      <c r="C272" s="6" t="s">
        <v>12</v>
      </c>
      <c r="D272" s="6" t="s">
        <v>1332</v>
      </c>
      <c r="E272" s="6" t="s">
        <v>14</v>
      </c>
      <c r="F272" s="6" t="n">
        <v>1815.02418133</v>
      </c>
      <c r="G272" s="6" t="n">
        <v>1815.024</v>
      </c>
      <c r="H272" s="6" t="s">
        <v>792</v>
      </c>
      <c r="I272" s="0" t="n">
        <v>0.4</v>
      </c>
      <c r="J272" s="0" t="n">
        <f aca="false">CONVERT(G272,"m^2","ha")</f>
        <v>0.1815024</v>
      </c>
      <c r="K272" s="0" t="b">
        <f aca="false">IF(J272&gt;(I272*2),((ROUNDDOWN(J272/I272,0))-1))</f>
        <v>0</v>
      </c>
    </row>
    <row r="273" customFormat="false" ht="12.75" hidden="false" customHeight="false" outlineLevel="0" collapsed="false">
      <c r="A273" s="5" t="n">
        <v>323</v>
      </c>
      <c r="B273" s="6" t="s">
        <v>1333</v>
      </c>
      <c r="C273" s="6" t="s">
        <v>12</v>
      </c>
      <c r="D273" s="6" t="s">
        <v>1334</v>
      </c>
      <c r="E273" s="6" t="s">
        <v>14</v>
      </c>
      <c r="F273" s="6" t="n">
        <v>1063.5604853</v>
      </c>
      <c r="G273" s="6" t="n">
        <v>1063.56</v>
      </c>
      <c r="H273" s="6" t="s">
        <v>792</v>
      </c>
      <c r="I273" s="0" t="n">
        <v>0.4</v>
      </c>
      <c r="J273" s="0" t="n">
        <f aca="false">CONVERT(G273,"m^2","ha")</f>
        <v>0.106356</v>
      </c>
      <c r="K273" s="0" t="b">
        <f aca="false">IF(J273&gt;(I273*2),((ROUNDDOWN(J273/I273,0))-1))</f>
        <v>0</v>
      </c>
    </row>
    <row r="274" customFormat="false" ht="12.75" hidden="false" customHeight="false" outlineLevel="0" collapsed="false">
      <c r="A274" s="5" t="n">
        <v>324</v>
      </c>
      <c r="B274" s="6" t="s">
        <v>1335</v>
      </c>
      <c r="C274" s="6" t="s">
        <v>12</v>
      </c>
      <c r="D274" s="6" t="s">
        <v>1336</v>
      </c>
      <c r="E274" s="6" t="s">
        <v>14</v>
      </c>
      <c r="F274" s="6" t="n">
        <v>2038.50929642</v>
      </c>
      <c r="G274" s="6" t="n">
        <v>2038.509</v>
      </c>
      <c r="H274" s="6" t="s">
        <v>792</v>
      </c>
      <c r="I274" s="0" t="n">
        <v>0.4</v>
      </c>
      <c r="J274" s="0" t="n">
        <f aca="false">CONVERT(G274,"m^2","ha")</f>
        <v>0.2038509</v>
      </c>
      <c r="K274" s="0" t="b">
        <f aca="false">IF(J274&gt;(I274*2),((ROUNDDOWN(J274/I274,0))-1))</f>
        <v>0</v>
      </c>
    </row>
    <row r="275" customFormat="false" ht="12.75" hidden="false" customHeight="false" outlineLevel="0" collapsed="false">
      <c r="A275" s="5" t="n">
        <v>327</v>
      </c>
      <c r="B275" s="6" t="s">
        <v>1337</v>
      </c>
      <c r="C275" s="6" t="s">
        <v>12</v>
      </c>
      <c r="D275" s="6" t="s">
        <v>1338</v>
      </c>
      <c r="E275" s="6" t="s">
        <v>14</v>
      </c>
      <c r="F275" s="6" t="n">
        <v>1969.86720048</v>
      </c>
      <c r="G275" s="6" t="n">
        <v>1969.867</v>
      </c>
      <c r="H275" s="6" t="s">
        <v>792</v>
      </c>
      <c r="I275" s="0" t="n">
        <v>0.4</v>
      </c>
      <c r="J275" s="0" t="n">
        <f aca="false">CONVERT(G275,"m^2","ha")</f>
        <v>0.1969867</v>
      </c>
      <c r="K275" s="0" t="b">
        <f aca="false">IF(J275&gt;(I275*2),((ROUNDDOWN(J275/I275,0))-1))</f>
        <v>0</v>
      </c>
    </row>
    <row r="276" customFormat="false" ht="12.75" hidden="false" customHeight="false" outlineLevel="0" collapsed="false">
      <c r="A276" s="5" t="n">
        <v>328</v>
      </c>
      <c r="B276" s="6" t="s">
        <v>1339</v>
      </c>
      <c r="C276" s="6" t="s">
        <v>12</v>
      </c>
      <c r="D276" s="6" t="s">
        <v>1340</v>
      </c>
      <c r="E276" s="6" t="s">
        <v>14</v>
      </c>
      <c r="F276" s="6" t="n">
        <v>2291.80018413</v>
      </c>
      <c r="G276" s="6" t="n">
        <v>2291.8</v>
      </c>
      <c r="H276" s="6" t="s">
        <v>792</v>
      </c>
      <c r="I276" s="0" t="n">
        <v>0.4</v>
      </c>
      <c r="J276" s="0" t="n">
        <f aca="false">CONVERT(G276,"m^2","ha")</f>
        <v>0.22918</v>
      </c>
      <c r="K276" s="0" t="b">
        <f aca="false">IF(J276&gt;(I276*2),((ROUNDDOWN(J276/I276,0))-1))</f>
        <v>0</v>
      </c>
    </row>
    <row r="277" customFormat="false" ht="12.75" hidden="false" customHeight="false" outlineLevel="0" collapsed="false">
      <c r="A277" s="5" t="n">
        <v>329</v>
      </c>
      <c r="B277" s="6" t="s">
        <v>1341</v>
      </c>
      <c r="C277" s="6" t="s">
        <v>12</v>
      </c>
      <c r="D277" s="6" t="s">
        <v>1342</v>
      </c>
      <c r="E277" s="6" t="s">
        <v>14</v>
      </c>
      <c r="F277" s="6" t="n">
        <v>2608.45349727</v>
      </c>
      <c r="G277" s="6" t="n">
        <v>2608.708</v>
      </c>
      <c r="H277" s="6" t="s">
        <v>792</v>
      </c>
      <c r="I277" s="0" t="n">
        <v>0.4</v>
      </c>
      <c r="J277" s="0" t="n">
        <f aca="false">CONVERT(G277,"m^2","ha")</f>
        <v>0.2608708</v>
      </c>
      <c r="K277" s="0" t="b">
        <f aca="false">IF(J277&gt;(I277*2),((ROUNDDOWN(J277/I277,0))-1))</f>
        <v>0</v>
      </c>
    </row>
    <row r="278" customFormat="false" ht="12.75" hidden="false" customHeight="false" outlineLevel="0" collapsed="false">
      <c r="A278" s="5" t="n">
        <v>330</v>
      </c>
      <c r="B278" s="6" t="s">
        <v>1343</v>
      </c>
      <c r="C278" s="6" t="s">
        <v>12</v>
      </c>
      <c r="D278" s="6" t="s">
        <v>1344</v>
      </c>
      <c r="E278" s="6" t="s">
        <v>14</v>
      </c>
      <c r="F278" s="6" t="n">
        <v>1074.716381825</v>
      </c>
      <c r="G278" s="6" t="n">
        <v>1074.716</v>
      </c>
      <c r="H278" s="6" t="s">
        <v>792</v>
      </c>
      <c r="I278" s="0" t="n">
        <v>0.4</v>
      </c>
      <c r="J278" s="0" t="n">
        <f aca="false">CONVERT(G278,"m^2","ha")</f>
        <v>0.1074716</v>
      </c>
      <c r="K278" s="0" t="b">
        <f aca="false">IF(J278&gt;(I278*2),((ROUNDDOWN(J278/I278,0))-1))</f>
        <v>0</v>
      </c>
    </row>
    <row r="279" customFormat="false" ht="12.75" hidden="false" customHeight="false" outlineLevel="0" collapsed="false">
      <c r="A279" s="5" t="n">
        <v>331</v>
      </c>
      <c r="B279" s="6" t="s">
        <v>1345</v>
      </c>
      <c r="C279" s="6" t="s">
        <v>12</v>
      </c>
      <c r="D279" s="6" t="s">
        <v>1346</v>
      </c>
      <c r="E279" s="6" t="s">
        <v>14</v>
      </c>
      <c r="F279" s="6" t="n">
        <v>1686.69731742</v>
      </c>
      <c r="G279" s="6" t="n">
        <v>1686.697</v>
      </c>
      <c r="H279" s="6" t="s">
        <v>792</v>
      </c>
      <c r="I279" s="0" t="n">
        <v>0.4</v>
      </c>
      <c r="J279" s="0" t="n">
        <f aca="false">CONVERT(G279,"m^2","ha")</f>
        <v>0.1686697</v>
      </c>
      <c r="K279" s="0" t="b">
        <f aca="false">IF(J279&gt;(I279*2),((ROUNDDOWN(J279/I279,0))-1))</f>
        <v>0</v>
      </c>
    </row>
    <row r="280" customFormat="false" ht="12.75" hidden="false" customHeight="false" outlineLevel="0" collapsed="false">
      <c r="A280" s="5" t="n">
        <v>332</v>
      </c>
      <c r="B280" s="6" t="s">
        <v>1347</v>
      </c>
      <c r="C280" s="6" t="s">
        <v>12</v>
      </c>
      <c r="D280" s="6" t="s">
        <v>1348</v>
      </c>
      <c r="E280" s="6" t="s">
        <v>14</v>
      </c>
      <c r="F280" s="6" t="n">
        <v>1772.442815235</v>
      </c>
      <c r="G280" s="6" t="n">
        <v>1772.443</v>
      </c>
      <c r="H280" s="6" t="s">
        <v>792</v>
      </c>
      <c r="I280" s="0" t="n">
        <v>0.4</v>
      </c>
      <c r="J280" s="0" t="n">
        <f aca="false">CONVERT(G280,"m^2","ha")</f>
        <v>0.1772443</v>
      </c>
      <c r="K280" s="0" t="b">
        <f aca="false">IF(J280&gt;(I280*2),((ROUNDDOWN(J280/I280,0))-1))</f>
        <v>0</v>
      </c>
    </row>
    <row r="281" customFormat="false" ht="12.75" hidden="false" customHeight="false" outlineLevel="0" collapsed="false">
      <c r="A281" s="5" t="n">
        <v>333</v>
      </c>
      <c r="B281" s="6" t="s">
        <v>1349</v>
      </c>
      <c r="C281" s="6" t="s">
        <v>12</v>
      </c>
      <c r="D281" s="6" t="s">
        <v>1350</v>
      </c>
      <c r="E281" s="6" t="s">
        <v>14</v>
      </c>
      <c r="F281" s="6" t="n">
        <v>912.44590623</v>
      </c>
      <c r="G281" s="6" t="n">
        <v>912.446</v>
      </c>
      <c r="H281" s="6" t="s">
        <v>792</v>
      </c>
      <c r="I281" s="0" t="n">
        <v>0.4</v>
      </c>
      <c r="J281" s="0" t="n">
        <f aca="false">CONVERT(G281,"m^2","ha")</f>
        <v>0.0912446</v>
      </c>
      <c r="K281" s="0" t="b">
        <f aca="false">IF(J281&gt;(I281*2),((ROUNDDOWN(J281/I281,0))-1))</f>
        <v>0</v>
      </c>
    </row>
    <row r="282" customFormat="false" ht="12.75" hidden="false" customHeight="false" outlineLevel="0" collapsed="false">
      <c r="A282" s="5" t="n">
        <v>334</v>
      </c>
      <c r="B282" s="6" t="s">
        <v>1351</v>
      </c>
      <c r="C282" s="6" t="s">
        <v>12</v>
      </c>
      <c r="D282" s="6" t="s">
        <v>1352</v>
      </c>
      <c r="E282" s="6" t="s">
        <v>14</v>
      </c>
      <c r="F282" s="6" t="n">
        <v>1583.04236107</v>
      </c>
      <c r="G282" s="6" t="n">
        <v>1583.042</v>
      </c>
      <c r="H282" s="6" t="s">
        <v>792</v>
      </c>
      <c r="I282" s="0" t="n">
        <v>0.4</v>
      </c>
      <c r="J282" s="0" t="n">
        <f aca="false">CONVERT(G282,"m^2","ha")</f>
        <v>0.1583042</v>
      </c>
      <c r="K282" s="0" t="b">
        <f aca="false">IF(J282&gt;(I282*2),((ROUNDDOWN(J282/I282,0))-1))</f>
        <v>0</v>
      </c>
    </row>
    <row r="283" customFormat="false" ht="12.75" hidden="false" customHeight="false" outlineLevel="0" collapsed="false">
      <c r="A283" s="5" t="n">
        <v>335</v>
      </c>
      <c r="B283" s="6" t="s">
        <v>1353</v>
      </c>
      <c r="C283" s="6" t="s">
        <v>12</v>
      </c>
      <c r="D283" s="6" t="s">
        <v>1354</v>
      </c>
      <c r="E283" s="6" t="s">
        <v>14</v>
      </c>
      <c r="F283" s="6" t="n">
        <v>3131.137521845</v>
      </c>
      <c r="G283" s="6" t="n">
        <v>3130.904</v>
      </c>
      <c r="H283" s="6" t="s">
        <v>792</v>
      </c>
      <c r="I283" s="0" t="n">
        <v>0.4</v>
      </c>
      <c r="J283" s="0" t="n">
        <f aca="false">CONVERT(G283,"m^2","ha")</f>
        <v>0.3130904</v>
      </c>
      <c r="K283" s="0" t="b">
        <f aca="false">IF(J283&gt;(I283*2),((ROUNDDOWN(J283/I283,0))-1))</f>
        <v>0</v>
      </c>
    </row>
    <row r="284" customFormat="false" ht="12.75" hidden="false" customHeight="false" outlineLevel="0" collapsed="false">
      <c r="A284" s="5" t="n">
        <v>336</v>
      </c>
      <c r="B284" s="6" t="s">
        <v>1355</v>
      </c>
      <c r="C284" s="6" t="s">
        <v>12</v>
      </c>
      <c r="D284" s="6" t="s">
        <v>1356</v>
      </c>
      <c r="E284" s="6" t="s">
        <v>14</v>
      </c>
      <c r="F284" s="6" t="n">
        <v>1537.77185232</v>
      </c>
      <c r="G284" s="6" t="n">
        <v>1537.772</v>
      </c>
      <c r="H284" s="6" t="s">
        <v>792</v>
      </c>
      <c r="I284" s="0" t="n">
        <v>0.4</v>
      </c>
      <c r="J284" s="0" t="n">
        <f aca="false">CONVERT(G284,"m^2","ha")</f>
        <v>0.1537772</v>
      </c>
      <c r="K284" s="0" t="b">
        <f aca="false">IF(J284&gt;(I284*2),((ROUNDDOWN(J284/I284,0))-1))</f>
        <v>0</v>
      </c>
    </row>
    <row r="285" customFormat="false" ht="12.75" hidden="false" customHeight="false" outlineLevel="0" collapsed="false">
      <c r="A285" s="5" t="n">
        <v>337</v>
      </c>
      <c r="B285" s="6" t="s">
        <v>1357</v>
      </c>
      <c r="C285" s="6" t="s">
        <v>12</v>
      </c>
      <c r="D285" s="6" t="s">
        <v>1358</v>
      </c>
      <c r="E285" s="6" t="s">
        <v>14</v>
      </c>
      <c r="F285" s="6" t="n">
        <v>2289.468151625</v>
      </c>
      <c r="G285" s="6" t="n">
        <v>2289.468</v>
      </c>
      <c r="H285" s="6" t="s">
        <v>792</v>
      </c>
      <c r="I285" s="0" t="n">
        <v>0.4</v>
      </c>
      <c r="J285" s="0" t="n">
        <f aca="false">CONVERT(G285,"m^2","ha")</f>
        <v>0.2289468</v>
      </c>
      <c r="K285" s="0" t="b">
        <f aca="false">IF(J285&gt;(I285*2),((ROUNDDOWN(J285/I285,0))-1))</f>
        <v>0</v>
      </c>
    </row>
    <row r="286" customFormat="false" ht="12.75" hidden="false" customHeight="false" outlineLevel="0" collapsed="false">
      <c r="A286" s="5" t="n">
        <v>338</v>
      </c>
      <c r="B286" s="6" t="s">
        <v>1359</v>
      </c>
      <c r="C286" s="6" t="s">
        <v>89</v>
      </c>
      <c r="D286" s="6" t="s">
        <v>1360</v>
      </c>
      <c r="E286" s="6" t="s">
        <v>14</v>
      </c>
      <c r="F286" s="6" t="n">
        <v>7632.835203405</v>
      </c>
      <c r="G286" s="6" t="n">
        <v>7632.835</v>
      </c>
      <c r="H286" s="6" t="s">
        <v>792</v>
      </c>
      <c r="I286" s="0" t="n">
        <v>0.4</v>
      </c>
      <c r="J286" s="0" t="n">
        <f aca="false">CONVERT(G286,"m^2","ha")</f>
        <v>0.7632835</v>
      </c>
      <c r="K286" s="0" t="b">
        <f aca="false">IF(J286&gt;(I286*2),((ROUNDDOWN(J286/I286,0))-1))</f>
        <v>0</v>
      </c>
    </row>
    <row r="287" customFormat="false" ht="12.75" hidden="false" customHeight="false" outlineLevel="0" collapsed="false">
      <c r="A287" s="5" t="n">
        <v>340</v>
      </c>
      <c r="B287" s="6" t="s">
        <v>1361</v>
      </c>
      <c r="C287" s="6" t="s">
        <v>12</v>
      </c>
      <c r="D287" s="6" t="s">
        <v>1362</v>
      </c>
      <c r="E287" s="6" t="s">
        <v>14</v>
      </c>
      <c r="F287" s="6" t="n">
        <v>1496.56005125</v>
      </c>
      <c r="G287" s="6" t="n">
        <v>1496.56</v>
      </c>
      <c r="H287" s="6" t="s">
        <v>792</v>
      </c>
      <c r="I287" s="0" t="n">
        <v>0.4</v>
      </c>
      <c r="J287" s="0" t="n">
        <f aca="false">CONVERT(G287,"m^2","ha")</f>
        <v>0.149656</v>
      </c>
      <c r="K287" s="0" t="b">
        <f aca="false">IF(J287&gt;(I287*2),((ROUNDDOWN(J287/I287,0))-1))</f>
        <v>0</v>
      </c>
    </row>
    <row r="288" customFormat="false" ht="12.75" hidden="false" customHeight="false" outlineLevel="0" collapsed="false">
      <c r="A288" s="5" t="n">
        <v>341</v>
      </c>
      <c r="B288" s="6" t="s">
        <v>1363</v>
      </c>
      <c r="C288" s="6" t="s">
        <v>12</v>
      </c>
      <c r="D288" s="6" t="s">
        <v>1364</v>
      </c>
      <c r="E288" s="6" t="s">
        <v>14</v>
      </c>
      <c r="F288" s="6" t="n">
        <v>1031.53861398</v>
      </c>
      <c r="G288" s="6" t="n">
        <v>1031.539</v>
      </c>
      <c r="H288" s="6" t="s">
        <v>792</v>
      </c>
      <c r="I288" s="0" t="n">
        <v>0.4</v>
      </c>
      <c r="J288" s="0" t="n">
        <f aca="false">CONVERT(G288,"m^2","ha")</f>
        <v>0.1031539</v>
      </c>
      <c r="K288" s="0" t="b">
        <f aca="false">IF(J288&gt;(I288*2),((ROUNDDOWN(J288/I288,0))-1))</f>
        <v>0</v>
      </c>
    </row>
    <row r="289" customFormat="false" ht="12.75" hidden="false" customHeight="false" outlineLevel="0" collapsed="false">
      <c r="A289" s="5" t="n">
        <v>342</v>
      </c>
      <c r="B289" s="6" t="s">
        <v>1365</v>
      </c>
      <c r="C289" s="6" t="s">
        <v>12</v>
      </c>
      <c r="D289" s="6" t="s">
        <v>1366</v>
      </c>
      <c r="E289" s="6" t="s">
        <v>14</v>
      </c>
      <c r="F289" s="6" t="n">
        <v>2574.61311454</v>
      </c>
      <c r="G289" s="6" t="n">
        <v>2574.613</v>
      </c>
      <c r="H289" s="6" t="s">
        <v>792</v>
      </c>
      <c r="I289" s="0" t="n">
        <v>0.4</v>
      </c>
      <c r="J289" s="0" t="n">
        <f aca="false">CONVERT(G289,"m^2","ha")</f>
        <v>0.2574613</v>
      </c>
      <c r="K289" s="0" t="b">
        <f aca="false">IF(J289&gt;(I289*2),((ROUNDDOWN(J289/I289,0))-1))</f>
        <v>0</v>
      </c>
    </row>
    <row r="290" customFormat="false" ht="12.75" hidden="false" customHeight="false" outlineLevel="0" collapsed="false">
      <c r="A290" s="5" t="n">
        <v>343</v>
      </c>
      <c r="B290" s="6" t="s">
        <v>1367</v>
      </c>
      <c r="C290" s="6" t="s">
        <v>12</v>
      </c>
      <c r="D290" s="6" t="s">
        <v>1368</v>
      </c>
      <c r="E290" s="6" t="s">
        <v>14</v>
      </c>
      <c r="F290" s="6" t="n">
        <v>1020.94049962</v>
      </c>
      <c r="G290" s="6" t="n">
        <v>1020.94</v>
      </c>
      <c r="H290" s="6" t="s">
        <v>792</v>
      </c>
      <c r="I290" s="0" t="n">
        <v>0.4</v>
      </c>
      <c r="J290" s="0" t="n">
        <f aca="false">CONVERT(G290,"m^2","ha")</f>
        <v>0.102094</v>
      </c>
      <c r="K290" s="0" t="b">
        <f aca="false">IF(J290&gt;(I290*2),((ROUNDDOWN(J290/I290,0))-1))</f>
        <v>0</v>
      </c>
    </row>
    <row r="291" customFormat="false" ht="12.75" hidden="false" customHeight="false" outlineLevel="0" collapsed="false">
      <c r="A291" s="5" t="n">
        <v>344</v>
      </c>
      <c r="B291" s="6" t="s">
        <v>1369</v>
      </c>
      <c r="C291" s="6" t="s">
        <v>89</v>
      </c>
      <c r="D291" s="6" t="s">
        <v>1370</v>
      </c>
      <c r="E291" s="6" t="s">
        <v>14</v>
      </c>
      <c r="F291" s="6" t="n">
        <v>2761.26757095</v>
      </c>
      <c r="G291" s="6" t="n">
        <v>2760.808</v>
      </c>
      <c r="H291" s="6" t="s">
        <v>792</v>
      </c>
      <c r="I291" s="0" t="n">
        <v>0.4</v>
      </c>
      <c r="J291" s="0" t="n">
        <f aca="false">CONVERT(G291,"m^2","ha")</f>
        <v>0.2760808</v>
      </c>
      <c r="K291" s="0" t="b">
        <f aca="false">IF(J291&gt;(I291*2),((ROUNDDOWN(J291/I291,0))-1))</f>
        <v>0</v>
      </c>
    </row>
    <row r="292" customFormat="false" ht="12.75" hidden="false" customHeight="false" outlineLevel="0" collapsed="false">
      <c r="A292" s="5" t="n">
        <v>348</v>
      </c>
      <c r="B292" s="6" t="s">
        <v>1371</v>
      </c>
      <c r="C292" s="6" t="s">
        <v>12</v>
      </c>
      <c r="D292" s="6" t="s">
        <v>1372</v>
      </c>
      <c r="E292" s="6" t="s">
        <v>14</v>
      </c>
      <c r="F292" s="6" t="n">
        <v>9079.26657124</v>
      </c>
      <c r="G292" s="6" t="n">
        <v>9079.267</v>
      </c>
      <c r="H292" s="6" t="s">
        <v>792</v>
      </c>
      <c r="I292" s="0" t="n">
        <v>0.4</v>
      </c>
      <c r="J292" s="0" t="n">
        <f aca="false">CONVERT(G292,"m^2","ha")</f>
        <v>0.9079267</v>
      </c>
      <c r="K292" s="0" t="n">
        <f aca="false">IF(J292&gt;(I292*2),((ROUNDDOWN(J292/I292,0))-1))</f>
        <v>1</v>
      </c>
    </row>
    <row r="293" customFormat="false" ht="12.75" hidden="false" customHeight="false" outlineLevel="0" collapsed="false">
      <c r="A293" s="5" t="n">
        <v>351</v>
      </c>
      <c r="B293" s="6" t="s">
        <v>1373</v>
      </c>
      <c r="C293" s="6" t="s">
        <v>12</v>
      </c>
      <c r="D293" s="6" t="s">
        <v>1374</v>
      </c>
      <c r="E293" s="6" t="s">
        <v>14</v>
      </c>
      <c r="F293" s="6" t="n">
        <v>1211.700619975</v>
      </c>
      <c r="G293" s="6" t="n">
        <v>1211.701</v>
      </c>
      <c r="H293" s="6" t="s">
        <v>792</v>
      </c>
      <c r="I293" s="0" t="n">
        <v>0.4</v>
      </c>
      <c r="J293" s="0" t="n">
        <f aca="false">CONVERT(G293,"m^2","ha")</f>
        <v>0.1211701</v>
      </c>
      <c r="K293" s="0" t="b">
        <f aca="false">IF(J293&gt;(I293*2),((ROUNDDOWN(J293/I293,0))-1))</f>
        <v>0</v>
      </c>
    </row>
    <row r="294" customFormat="false" ht="12.75" hidden="false" customHeight="false" outlineLevel="0" collapsed="false">
      <c r="A294" s="5" t="n">
        <v>352</v>
      </c>
      <c r="B294" s="6" t="s">
        <v>1375</v>
      </c>
      <c r="C294" s="6" t="s">
        <v>89</v>
      </c>
      <c r="D294" s="6" t="s">
        <v>1376</v>
      </c>
      <c r="E294" s="6" t="s">
        <v>14</v>
      </c>
      <c r="F294" s="6" t="n">
        <v>2422.71650528</v>
      </c>
      <c r="G294" s="6" t="n">
        <v>2422.717</v>
      </c>
      <c r="H294" s="6" t="s">
        <v>792</v>
      </c>
      <c r="I294" s="0" t="n">
        <v>0.4</v>
      </c>
      <c r="J294" s="0" t="n">
        <f aca="false">CONVERT(G294,"m^2","ha")</f>
        <v>0.2422717</v>
      </c>
      <c r="K294" s="0" t="b">
        <f aca="false">IF(J294&gt;(I294*2),((ROUNDDOWN(J294/I294,0))-1))</f>
        <v>0</v>
      </c>
    </row>
    <row r="295" customFormat="false" ht="12.75" hidden="false" customHeight="false" outlineLevel="0" collapsed="false">
      <c r="A295" s="5" t="n">
        <v>354</v>
      </c>
      <c r="B295" s="6" t="s">
        <v>1377</v>
      </c>
      <c r="C295" s="6" t="s">
        <v>12</v>
      </c>
      <c r="D295" s="6" t="s">
        <v>1378</v>
      </c>
      <c r="E295" s="6" t="s">
        <v>14</v>
      </c>
      <c r="F295" s="6" t="n">
        <v>3364.918396345</v>
      </c>
      <c r="G295" s="6" t="n">
        <v>3364.918</v>
      </c>
      <c r="H295" s="6" t="s">
        <v>792</v>
      </c>
      <c r="I295" s="0" t="n">
        <v>0.4</v>
      </c>
      <c r="J295" s="0" t="n">
        <f aca="false">CONVERT(G295,"m^2","ha")</f>
        <v>0.3364918</v>
      </c>
      <c r="K295" s="0" t="b">
        <f aca="false">IF(J295&gt;(I295*2),((ROUNDDOWN(J295/I295,0))-1))</f>
        <v>0</v>
      </c>
    </row>
    <row r="296" customFormat="false" ht="12.75" hidden="false" customHeight="false" outlineLevel="0" collapsed="false">
      <c r="A296" s="5" t="n">
        <v>355</v>
      </c>
      <c r="B296" s="6" t="s">
        <v>1379</v>
      </c>
      <c r="C296" s="6" t="s">
        <v>12</v>
      </c>
      <c r="D296" s="6" t="s">
        <v>1380</v>
      </c>
      <c r="E296" s="6" t="s">
        <v>14</v>
      </c>
      <c r="F296" s="6" t="n">
        <v>2659.40844608</v>
      </c>
      <c r="G296" s="6" t="n">
        <v>2658.917</v>
      </c>
      <c r="H296" s="6" t="s">
        <v>792</v>
      </c>
      <c r="I296" s="0" t="n">
        <v>0.4</v>
      </c>
      <c r="J296" s="0" t="n">
        <f aca="false">CONVERT(G296,"m^2","ha")</f>
        <v>0.2658917</v>
      </c>
      <c r="K296" s="0" t="b">
        <f aca="false">IF(J296&gt;(I296*2),((ROUNDDOWN(J296/I296,0))-1))</f>
        <v>0</v>
      </c>
    </row>
    <row r="297" customFormat="false" ht="12.75" hidden="false" customHeight="false" outlineLevel="0" collapsed="false">
      <c r="A297" s="5" t="n">
        <v>356</v>
      </c>
      <c r="B297" s="6" t="s">
        <v>1381</v>
      </c>
      <c r="C297" s="6" t="s">
        <v>12</v>
      </c>
      <c r="D297" s="6" t="s">
        <v>1382</v>
      </c>
      <c r="E297" s="6" t="s">
        <v>14</v>
      </c>
      <c r="F297" s="6" t="n">
        <v>2989.907449355</v>
      </c>
      <c r="G297" s="6" t="n">
        <v>2989.907</v>
      </c>
      <c r="H297" s="6" t="s">
        <v>792</v>
      </c>
      <c r="I297" s="0" t="n">
        <v>0.4</v>
      </c>
      <c r="J297" s="0" t="n">
        <f aca="false">CONVERT(G297,"m^2","ha")</f>
        <v>0.2989907</v>
      </c>
      <c r="K297" s="0" t="b">
        <f aca="false">IF(J297&gt;(I297*2),((ROUNDDOWN(J297/I297,0))-1))</f>
        <v>0</v>
      </c>
    </row>
    <row r="298" customFormat="false" ht="12.75" hidden="false" customHeight="false" outlineLevel="0" collapsed="false">
      <c r="A298" s="5" t="n">
        <v>357</v>
      </c>
      <c r="B298" s="6" t="s">
        <v>1383</v>
      </c>
      <c r="C298" s="6" t="s">
        <v>12</v>
      </c>
      <c r="D298" s="6" t="s">
        <v>1384</v>
      </c>
      <c r="E298" s="6" t="s">
        <v>14</v>
      </c>
      <c r="F298" s="6" t="n">
        <v>1662.137162325</v>
      </c>
      <c r="G298" s="6" t="n">
        <v>1662.137</v>
      </c>
      <c r="H298" s="6" t="s">
        <v>792</v>
      </c>
      <c r="I298" s="0" t="n">
        <v>0.4</v>
      </c>
      <c r="J298" s="0" t="n">
        <f aca="false">CONVERT(G298,"m^2","ha")</f>
        <v>0.1662137</v>
      </c>
      <c r="K298" s="0" t="b">
        <f aca="false">IF(J298&gt;(I298*2),((ROUNDDOWN(J298/I298,0))-1))</f>
        <v>0</v>
      </c>
    </row>
    <row r="299" customFormat="false" ht="12.75" hidden="false" customHeight="false" outlineLevel="0" collapsed="false">
      <c r="A299" s="5" t="n">
        <v>358</v>
      </c>
      <c r="B299" s="6" t="s">
        <v>1385</v>
      </c>
      <c r="C299" s="6" t="s">
        <v>12</v>
      </c>
      <c r="D299" s="6" t="s">
        <v>1386</v>
      </c>
      <c r="E299" s="6" t="s">
        <v>14</v>
      </c>
      <c r="F299" s="6" t="n">
        <v>6539.61285806</v>
      </c>
      <c r="G299" s="6" t="n">
        <v>6538.062</v>
      </c>
      <c r="H299" s="6" t="s">
        <v>792</v>
      </c>
      <c r="I299" s="0" t="n">
        <v>0.4</v>
      </c>
      <c r="J299" s="0" t="n">
        <f aca="false">CONVERT(G299,"m^2","ha")</f>
        <v>0.6538062</v>
      </c>
      <c r="K299" s="0" t="b">
        <f aca="false">IF(J299&gt;(I299*2),((ROUNDDOWN(J299/I299,0))-1))</f>
        <v>0</v>
      </c>
    </row>
    <row r="300" customFormat="false" ht="12.75" hidden="false" customHeight="false" outlineLevel="0" collapsed="false">
      <c r="A300" s="5" t="n">
        <v>359</v>
      </c>
      <c r="B300" s="6" t="s">
        <v>1387</v>
      </c>
      <c r="C300" s="6" t="s">
        <v>12</v>
      </c>
      <c r="D300" s="6" t="s">
        <v>1388</v>
      </c>
      <c r="E300" s="6" t="s">
        <v>14</v>
      </c>
      <c r="F300" s="6" t="n">
        <v>1770.225738265</v>
      </c>
      <c r="G300" s="6" t="n">
        <v>1770.226</v>
      </c>
      <c r="H300" s="6" t="s">
        <v>792</v>
      </c>
      <c r="I300" s="0" t="n">
        <v>0.4</v>
      </c>
      <c r="J300" s="0" t="n">
        <f aca="false">CONVERT(G300,"m^2","ha")</f>
        <v>0.1770226</v>
      </c>
      <c r="K300" s="0" t="b">
        <f aca="false">IF(J300&gt;(I300*2),((ROUNDDOWN(J300/I300,0))-1))</f>
        <v>0</v>
      </c>
    </row>
    <row r="301" customFormat="false" ht="12.75" hidden="false" customHeight="false" outlineLevel="0" collapsed="false">
      <c r="A301" s="5" t="n">
        <v>360</v>
      </c>
      <c r="B301" s="6" t="s">
        <v>1389</v>
      </c>
      <c r="C301" s="6" t="s">
        <v>12</v>
      </c>
      <c r="D301" s="6" t="s">
        <v>1390</v>
      </c>
      <c r="E301" s="6" t="s">
        <v>14</v>
      </c>
      <c r="F301" s="6" t="n">
        <v>5149.148843585</v>
      </c>
      <c r="G301" s="6" t="n">
        <v>5149.149</v>
      </c>
      <c r="H301" s="6" t="s">
        <v>792</v>
      </c>
      <c r="I301" s="0" t="n">
        <v>0.4</v>
      </c>
      <c r="J301" s="0" t="n">
        <f aca="false">CONVERT(G301,"m^2","ha")</f>
        <v>0.5149149</v>
      </c>
      <c r="K301" s="0" t="b">
        <f aca="false">IF(J301&gt;(I301*2),((ROUNDDOWN(J301/I301,0))-1))</f>
        <v>0</v>
      </c>
    </row>
    <row r="302" customFormat="false" ht="12.75" hidden="false" customHeight="false" outlineLevel="0" collapsed="false">
      <c r="A302" s="5" t="n">
        <v>362</v>
      </c>
      <c r="B302" s="6" t="s">
        <v>1391</v>
      </c>
      <c r="C302" s="6" t="s">
        <v>12</v>
      </c>
      <c r="D302" s="6" t="s">
        <v>1392</v>
      </c>
      <c r="E302" s="6" t="s">
        <v>14</v>
      </c>
      <c r="F302" s="6" t="n">
        <v>2972.014039145</v>
      </c>
      <c r="G302" s="6" t="n">
        <v>2971.725</v>
      </c>
      <c r="H302" s="6" t="s">
        <v>792</v>
      </c>
      <c r="I302" s="0" t="n">
        <v>0.4</v>
      </c>
      <c r="J302" s="0" t="n">
        <f aca="false">CONVERT(G302,"m^2","ha")</f>
        <v>0.2971725</v>
      </c>
      <c r="K302" s="0" t="b">
        <f aca="false">IF(J302&gt;(I302*2),((ROUNDDOWN(J302/I302,0))-1))</f>
        <v>0</v>
      </c>
    </row>
    <row r="303" customFormat="false" ht="12.75" hidden="false" customHeight="false" outlineLevel="0" collapsed="false">
      <c r="A303" s="5" t="n">
        <v>363</v>
      </c>
      <c r="B303" s="6" t="s">
        <v>1393</v>
      </c>
      <c r="C303" s="6" t="s">
        <v>12</v>
      </c>
      <c r="D303" s="6" t="s">
        <v>1394</v>
      </c>
      <c r="E303" s="6" t="s">
        <v>14</v>
      </c>
      <c r="F303" s="6" t="n">
        <v>1216.74286006</v>
      </c>
      <c r="G303" s="6" t="n">
        <v>1216.743</v>
      </c>
      <c r="H303" s="6" t="s">
        <v>792</v>
      </c>
      <c r="I303" s="0" t="n">
        <v>0.4</v>
      </c>
      <c r="J303" s="0" t="n">
        <f aca="false">CONVERT(G303,"m^2","ha")</f>
        <v>0.1216743</v>
      </c>
      <c r="K303" s="0" t="b">
        <f aca="false">IF(J303&gt;(I303*2),((ROUNDDOWN(J303/I303,0))-1))</f>
        <v>0</v>
      </c>
    </row>
    <row r="304" customFormat="false" ht="12.75" hidden="false" customHeight="false" outlineLevel="0" collapsed="false">
      <c r="A304" s="5" t="n">
        <v>365</v>
      </c>
      <c r="B304" s="6" t="s">
        <v>1395</v>
      </c>
      <c r="C304" s="6" t="s">
        <v>12</v>
      </c>
      <c r="D304" s="6" t="s">
        <v>1396</v>
      </c>
      <c r="E304" s="6" t="s">
        <v>14</v>
      </c>
      <c r="F304" s="6" t="n">
        <v>2183.88207966</v>
      </c>
      <c r="G304" s="6" t="n">
        <v>2183.882</v>
      </c>
      <c r="H304" s="6" t="s">
        <v>792</v>
      </c>
      <c r="I304" s="0" t="n">
        <v>0.4</v>
      </c>
      <c r="J304" s="0" t="n">
        <f aca="false">CONVERT(G304,"m^2","ha")</f>
        <v>0.2183882</v>
      </c>
      <c r="K304" s="0" t="b">
        <f aca="false">IF(J304&gt;(I304*2),((ROUNDDOWN(J304/I304,0))-1))</f>
        <v>0</v>
      </c>
    </row>
    <row r="305" customFormat="false" ht="12.75" hidden="false" customHeight="false" outlineLevel="0" collapsed="false">
      <c r="A305" s="5" t="n">
        <v>366</v>
      </c>
      <c r="B305" s="6" t="s">
        <v>1397</v>
      </c>
      <c r="C305" s="6" t="s">
        <v>12</v>
      </c>
      <c r="D305" s="6" t="s">
        <v>1398</v>
      </c>
      <c r="E305" s="6" t="s">
        <v>14</v>
      </c>
      <c r="F305" s="6" t="n">
        <v>1118.191113275</v>
      </c>
      <c r="G305" s="6" t="n">
        <v>1118.191</v>
      </c>
      <c r="H305" s="6" t="s">
        <v>792</v>
      </c>
      <c r="I305" s="0" t="n">
        <v>0.4</v>
      </c>
      <c r="J305" s="0" t="n">
        <f aca="false">CONVERT(G305,"m^2","ha")</f>
        <v>0.1118191</v>
      </c>
      <c r="K305" s="0" t="b">
        <f aca="false">IF(J305&gt;(I305*2),((ROUNDDOWN(J305/I305,0))-1))</f>
        <v>0</v>
      </c>
    </row>
    <row r="306" customFormat="false" ht="12.75" hidden="false" customHeight="false" outlineLevel="0" collapsed="false">
      <c r="A306" s="5" t="n">
        <v>367</v>
      </c>
      <c r="B306" s="6" t="s">
        <v>1399</v>
      </c>
      <c r="C306" s="6" t="s">
        <v>12</v>
      </c>
      <c r="D306" s="6" t="s">
        <v>1400</v>
      </c>
      <c r="E306" s="6" t="s">
        <v>14</v>
      </c>
      <c r="F306" s="6" t="n">
        <v>1149.81301145</v>
      </c>
      <c r="G306" s="6" t="n">
        <v>1149.813</v>
      </c>
      <c r="H306" s="6" t="s">
        <v>792</v>
      </c>
      <c r="I306" s="0" t="n">
        <v>0.4</v>
      </c>
      <c r="J306" s="0" t="n">
        <f aca="false">CONVERT(G306,"m^2","ha")</f>
        <v>0.1149813</v>
      </c>
      <c r="K306" s="0" t="b">
        <f aca="false">IF(J306&gt;(I306*2),((ROUNDDOWN(J306/I306,0))-1))</f>
        <v>0</v>
      </c>
    </row>
    <row r="307" customFormat="false" ht="12.75" hidden="false" customHeight="false" outlineLevel="0" collapsed="false">
      <c r="A307" s="5" t="n">
        <v>368</v>
      </c>
      <c r="B307" s="6" t="s">
        <v>1401</v>
      </c>
      <c r="C307" s="6" t="s">
        <v>12</v>
      </c>
      <c r="D307" s="6" t="s">
        <v>1402</v>
      </c>
      <c r="E307" s="6" t="s">
        <v>14</v>
      </c>
      <c r="F307" s="6" t="n">
        <v>4032.1824597</v>
      </c>
      <c r="G307" s="6" t="n">
        <v>4032.182</v>
      </c>
      <c r="H307" s="6" t="s">
        <v>792</v>
      </c>
      <c r="I307" s="0" t="n">
        <v>0.4</v>
      </c>
      <c r="J307" s="0" t="n">
        <f aca="false">CONVERT(G307,"m^2","ha")</f>
        <v>0.4032182</v>
      </c>
      <c r="K307" s="0" t="b">
        <f aca="false">IF(J307&gt;(I307*2),((ROUNDDOWN(J307/I307,0))-1))</f>
        <v>0</v>
      </c>
    </row>
    <row r="308" customFormat="false" ht="12.75" hidden="false" customHeight="false" outlineLevel="0" collapsed="false">
      <c r="A308" s="5" t="n">
        <v>369</v>
      </c>
      <c r="B308" s="6" t="s">
        <v>1403</v>
      </c>
      <c r="C308" s="6" t="s">
        <v>12</v>
      </c>
      <c r="D308" s="6" t="s">
        <v>1404</v>
      </c>
      <c r="E308" s="6" t="s">
        <v>14</v>
      </c>
      <c r="F308" s="6" t="n">
        <v>2042.099315015</v>
      </c>
      <c r="G308" s="6" t="n">
        <v>2042.099</v>
      </c>
      <c r="H308" s="6" t="s">
        <v>792</v>
      </c>
      <c r="I308" s="0" t="n">
        <v>0.4</v>
      </c>
      <c r="J308" s="0" t="n">
        <f aca="false">CONVERT(G308,"m^2","ha")</f>
        <v>0.2042099</v>
      </c>
      <c r="K308" s="0" t="b">
        <f aca="false">IF(J308&gt;(I308*2),((ROUNDDOWN(J308/I308,0))-1))</f>
        <v>0</v>
      </c>
    </row>
    <row r="309" customFormat="false" ht="12.75" hidden="false" customHeight="false" outlineLevel="0" collapsed="false">
      <c r="A309" s="5" t="n">
        <v>372</v>
      </c>
      <c r="B309" s="6" t="s">
        <v>1405</v>
      </c>
      <c r="C309" s="6" t="s">
        <v>12</v>
      </c>
      <c r="D309" s="6" t="s">
        <v>1406</v>
      </c>
      <c r="E309" s="6" t="s">
        <v>14</v>
      </c>
      <c r="F309" s="6" t="n">
        <v>4870.56173137</v>
      </c>
      <c r="G309" s="6" t="n">
        <v>4869.041</v>
      </c>
      <c r="H309" s="6" t="s">
        <v>792</v>
      </c>
      <c r="I309" s="0" t="n">
        <v>0.4</v>
      </c>
      <c r="J309" s="0" t="n">
        <f aca="false">CONVERT(G309,"m^2","ha")</f>
        <v>0.4869041</v>
      </c>
      <c r="K309" s="0" t="b">
        <f aca="false">IF(J309&gt;(I309*2),((ROUNDDOWN(J309/I309,0))-1))</f>
        <v>0</v>
      </c>
    </row>
    <row r="310" customFormat="false" ht="12.75" hidden="false" customHeight="false" outlineLevel="0" collapsed="false">
      <c r="A310" s="5" t="n">
        <v>373</v>
      </c>
      <c r="B310" s="6" t="s">
        <v>1407</v>
      </c>
      <c r="C310" s="6" t="s">
        <v>89</v>
      </c>
      <c r="D310" s="6" t="s">
        <v>1408</v>
      </c>
      <c r="E310" s="6" t="s">
        <v>14</v>
      </c>
      <c r="F310" s="6" t="n">
        <v>4441.43305173</v>
      </c>
      <c r="G310" s="6" t="n">
        <v>4441.193</v>
      </c>
      <c r="H310" s="6" t="s">
        <v>792</v>
      </c>
      <c r="I310" s="0" t="n">
        <v>0.4</v>
      </c>
      <c r="J310" s="0" t="n">
        <f aca="false">CONVERT(G310,"m^2","ha")</f>
        <v>0.4441193</v>
      </c>
      <c r="K310" s="0" t="b">
        <f aca="false">IF(J310&gt;(I310*2),((ROUNDDOWN(J310/I310,0))-1))</f>
        <v>0</v>
      </c>
    </row>
    <row r="311" customFormat="false" ht="12.75" hidden="false" customHeight="false" outlineLevel="0" collapsed="false">
      <c r="A311" s="5" t="n">
        <v>374</v>
      </c>
      <c r="B311" s="6" t="s">
        <v>1409</v>
      </c>
      <c r="C311" s="6" t="s">
        <v>12</v>
      </c>
      <c r="D311" s="6" t="s">
        <v>1410</v>
      </c>
      <c r="E311" s="6" t="s">
        <v>14</v>
      </c>
      <c r="F311" s="6" t="n">
        <v>1250.78672672</v>
      </c>
      <c r="G311" s="6" t="n">
        <v>1250.787</v>
      </c>
      <c r="H311" s="6" t="s">
        <v>792</v>
      </c>
      <c r="I311" s="0" t="n">
        <v>0.4</v>
      </c>
      <c r="J311" s="0" t="n">
        <f aca="false">CONVERT(G311,"m^2","ha")</f>
        <v>0.1250787</v>
      </c>
      <c r="K311" s="0" t="b">
        <f aca="false">IF(J311&gt;(I311*2),((ROUNDDOWN(J311/I311,0))-1))</f>
        <v>0</v>
      </c>
    </row>
    <row r="312" customFormat="false" ht="12.75" hidden="false" customHeight="false" outlineLevel="0" collapsed="false">
      <c r="A312" s="5" t="n">
        <v>375</v>
      </c>
      <c r="B312" s="6" t="s">
        <v>1411</v>
      </c>
      <c r="C312" s="6" t="s">
        <v>12</v>
      </c>
      <c r="D312" s="6" t="s">
        <v>1412</v>
      </c>
      <c r="E312" s="6" t="s">
        <v>14</v>
      </c>
      <c r="F312" s="6" t="n">
        <v>911.30146618</v>
      </c>
      <c r="G312" s="6" t="n">
        <v>911.301</v>
      </c>
      <c r="H312" s="6" t="s">
        <v>792</v>
      </c>
      <c r="I312" s="0" t="n">
        <v>0.4</v>
      </c>
      <c r="J312" s="0" t="n">
        <f aca="false">CONVERT(G312,"m^2","ha")</f>
        <v>0.0911301</v>
      </c>
      <c r="K312" s="0" t="b">
        <f aca="false">IF(J312&gt;(I312*2),((ROUNDDOWN(J312/I312,0))-1))</f>
        <v>0</v>
      </c>
    </row>
    <row r="313" customFormat="false" ht="12.75" hidden="false" customHeight="false" outlineLevel="0" collapsed="false">
      <c r="A313" s="5" t="n">
        <v>376</v>
      </c>
      <c r="B313" s="6" t="s">
        <v>1413</v>
      </c>
      <c r="C313" s="6" t="s">
        <v>12</v>
      </c>
      <c r="D313" s="6" t="s">
        <v>1414</v>
      </c>
      <c r="E313" s="6" t="s">
        <v>14</v>
      </c>
      <c r="F313" s="6" t="n">
        <v>1227.310921615</v>
      </c>
      <c r="G313" s="6" t="n">
        <v>1227.311</v>
      </c>
      <c r="H313" s="6" t="s">
        <v>792</v>
      </c>
      <c r="I313" s="0" t="n">
        <v>0.4</v>
      </c>
      <c r="J313" s="0" t="n">
        <f aca="false">CONVERT(G313,"m^2","ha")</f>
        <v>0.1227311</v>
      </c>
      <c r="K313" s="0" t="b">
        <f aca="false">IF(J313&gt;(I313*2),((ROUNDDOWN(J313/I313,0))-1))</f>
        <v>0</v>
      </c>
    </row>
    <row r="314" customFormat="false" ht="12.75" hidden="false" customHeight="false" outlineLevel="0" collapsed="false">
      <c r="A314" s="5" t="n">
        <v>378</v>
      </c>
      <c r="B314" s="6" t="s">
        <v>1415</v>
      </c>
      <c r="C314" s="6" t="s">
        <v>89</v>
      </c>
      <c r="D314" s="6" t="s">
        <v>1416</v>
      </c>
      <c r="E314" s="6" t="s">
        <v>14</v>
      </c>
      <c r="F314" s="6" t="n">
        <v>4143.94995862</v>
      </c>
      <c r="G314" s="6" t="n">
        <v>4143.845</v>
      </c>
      <c r="H314" s="6" t="s">
        <v>792</v>
      </c>
      <c r="I314" s="0" t="n">
        <v>0.4</v>
      </c>
      <c r="J314" s="0" t="n">
        <f aca="false">CONVERT(G314,"m^2","ha")</f>
        <v>0.4143845</v>
      </c>
      <c r="K314" s="0" t="b">
        <f aca="false">IF(J314&gt;(I314*2),((ROUNDDOWN(J314/I314,0))-1))</f>
        <v>0</v>
      </c>
    </row>
    <row r="315" customFormat="false" ht="12.75" hidden="false" customHeight="false" outlineLevel="0" collapsed="false">
      <c r="A315" s="5" t="n">
        <v>379</v>
      </c>
      <c r="B315" s="6" t="s">
        <v>1417</v>
      </c>
      <c r="C315" s="6" t="s">
        <v>89</v>
      </c>
      <c r="D315" s="6" t="s">
        <v>1418</v>
      </c>
      <c r="E315" s="6" t="s">
        <v>14</v>
      </c>
      <c r="F315" s="6" t="n">
        <v>1171.489642435</v>
      </c>
      <c r="G315" s="6" t="n">
        <v>1171.49</v>
      </c>
      <c r="H315" s="6" t="s">
        <v>792</v>
      </c>
      <c r="I315" s="0" t="n">
        <v>0.4</v>
      </c>
      <c r="J315" s="0" t="n">
        <f aca="false">CONVERT(G315,"m^2","ha")</f>
        <v>0.117149</v>
      </c>
      <c r="K315" s="0" t="b">
        <f aca="false">IF(J315&gt;(I315*2),((ROUNDDOWN(J315/I315,0))-1))</f>
        <v>0</v>
      </c>
    </row>
    <row r="316" customFormat="false" ht="12.75" hidden="false" customHeight="false" outlineLevel="0" collapsed="false">
      <c r="A316" s="5" t="n">
        <v>380</v>
      </c>
      <c r="B316" s="6" t="s">
        <v>1419</v>
      </c>
      <c r="C316" s="6" t="s">
        <v>12</v>
      </c>
      <c r="D316" s="6" t="s">
        <v>1420</v>
      </c>
      <c r="E316" s="6" t="s">
        <v>14</v>
      </c>
      <c r="F316" s="6" t="n">
        <v>2354.41625836</v>
      </c>
      <c r="G316" s="6" t="n">
        <v>2354.416</v>
      </c>
      <c r="H316" s="6" t="s">
        <v>792</v>
      </c>
      <c r="I316" s="0" t="n">
        <v>0.4</v>
      </c>
      <c r="J316" s="0" t="n">
        <f aca="false">CONVERT(G316,"m^2","ha")</f>
        <v>0.2354416</v>
      </c>
      <c r="K316" s="0" t="b">
        <f aca="false">IF(J316&gt;(I316*2),((ROUNDDOWN(J316/I316,0))-1))</f>
        <v>0</v>
      </c>
    </row>
    <row r="317" customFormat="false" ht="12.75" hidden="false" customHeight="false" outlineLevel="0" collapsed="false">
      <c r="A317" s="5" t="n">
        <v>383</v>
      </c>
      <c r="B317" s="6" t="s">
        <v>1421</v>
      </c>
      <c r="C317" s="6" t="s">
        <v>12</v>
      </c>
      <c r="D317" s="6" t="s">
        <v>1422</v>
      </c>
      <c r="E317" s="6" t="s">
        <v>14</v>
      </c>
      <c r="F317" s="6" t="n">
        <v>2459.932997545</v>
      </c>
      <c r="G317" s="6" t="n">
        <v>2459.933</v>
      </c>
      <c r="H317" s="6" t="s">
        <v>792</v>
      </c>
      <c r="I317" s="0" t="n">
        <v>0.4</v>
      </c>
      <c r="J317" s="0" t="n">
        <f aca="false">CONVERT(G317,"m^2","ha")</f>
        <v>0.2459933</v>
      </c>
      <c r="K317" s="0" t="b">
        <f aca="false">IF(J317&gt;(I317*2),((ROUNDDOWN(J317/I317,0))-1))</f>
        <v>0</v>
      </c>
    </row>
    <row r="318" customFormat="false" ht="12.75" hidden="false" customHeight="false" outlineLevel="0" collapsed="false">
      <c r="A318" s="5" t="n">
        <v>384</v>
      </c>
      <c r="B318" s="6" t="s">
        <v>1423</v>
      </c>
      <c r="C318" s="6" t="s">
        <v>12</v>
      </c>
      <c r="D318" s="6" t="s">
        <v>1424</v>
      </c>
      <c r="E318" s="6" t="s">
        <v>14</v>
      </c>
      <c r="F318" s="6" t="n">
        <v>950.2962957</v>
      </c>
      <c r="G318" s="6" t="n">
        <v>950.296</v>
      </c>
      <c r="H318" s="6" t="s">
        <v>792</v>
      </c>
      <c r="I318" s="0" t="n">
        <v>0.4</v>
      </c>
      <c r="J318" s="0" t="n">
        <f aca="false">CONVERT(G318,"m^2","ha")</f>
        <v>0.0950296</v>
      </c>
      <c r="K318" s="0" t="b">
        <f aca="false">IF(J318&gt;(I318*2),((ROUNDDOWN(J318/I318,0))-1))</f>
        <v>0</v>
      </c>
    </row>
    <row r="319" customFormat="false" ht="12.75" hidden="false" customHeight="false" outlineLevel="0" collapsed="false">
      <c r="A319" s="5" t="n">
        <v>385</v>
      </c>
      <c r="B319" s="6" t="s">
        <v>1425</v>
      </c>
      <c r="C319" s="6" t="s">
        <v>12</v>
      </c>
      <c r="D319" s="6" t="s">
        <v>1426</v>
      </c>
      <c r="E319" s="6" t="s">
        <v>14</v>
      </c>
      <c r="F319" s="6" t="n">
        <v>2099.27725192</v>
      </c>
      <c r="G319" s="6" t="n">
        <v>2099.277</v>
      </c>
      <c r="H319" s="6" t="s">
        <v>792</v>
      </c>
      <c r="I319" s="0" t="n">
        <v>0.4</v>
      </c>
      <c r="J319" s="0" t="n">
        <f aca="false">CONVERT(G319,"m^2","ha")</f>
        <v>0.2099277</v>
      </c>
      <c r="K319" s="0" t="b">
        <f aca="false">IF(J319&gt;(I319*2),((ROUNDDOWN(J319/I319,0))-1))</f>
        <v>0</v>
      </c>
    </row>
    <row r="320" customFormat="false" ht="12.75" hidden="false" customHeight="false" outlineLevel="0" collapsed="false">
      <c r="A320" s="5" t="n">
        <v>386</v>
      </c>
      <c r="B320" s="6" t="s">
        <v>1427</v>
      </c>
      <c r="C320" s="6" t="s">
        <v>12</v>
      </c>
      <c r="D320" s="6" t="s">
        <v>1428</v>
      </c>
      <c r="E320" s="6" t="s">
        <v>14</v>
      </c>
      <c r="F320" s="6" t="n">
        <v>1081.30348835</v>
      </c>
      <c r="G320" s="6" t="n">
        <v>1081.303</v>
      </c>
      <c r="H320" s="6" t="s">
        <v>792</v>
      </c>
      <c r="I320" s="0" t="n">
        <v>0.4</v>
      </c>
      <c r="J320" s="0" t="n">
        <f aca="false">CONVERT(G320,"m^2","ha")</f>
        <v>0.1081303</v>
      </c>
      <c r="K320" s="0" t="b">
        <f aca="false">IF(J320&gt;(I320*2),((ROUNDDOWN(J320/I320,0))-1))</f>
        <v>0</v>
      </c>
    </row>
    <row r="321" customFormat="false" ht="12.75" hidden="false" customHeight="false" outlineLevel="0" collapsed="false">
      <c r="A321" s="5" t="n">
        <v>387</v>
      </c>
      <c r="B321" s="6" t="s">
        <v>1429</v>
      </c>
      <c r="C321" s="6" t="s">
        <v>12</v>
      </c>
      <c r="D321" s="6" t="s">
        <v>1430</v>
      </c>
      <c r="E321" s="6" t="s">
        <v>14</v>
      </c>
      <c r="F321" s="6" t="n">
        <v>3686.26299044</v>
      </c>
      <c r="G321" s="6" t="n">
        <v>3686.263</v>
      </c>
      <c r="H321" s="6" t="s">
        <v>792</v>
      </c>
      <c r="I321" s="0" t="n">
        <v>0.4</v>
      </c>
      <c r="J321" s="0" t="n">
        <f aca="false">CONVERT(G321,"m^2","ha")</f>
        <v>0.3686263</v>
      </c>
      <c r="K321" s="0" t="b">
        <f aca="false">IF(J321&gt;(I321*2),((ROUNDDOWN(J321/I321,0))-1))</f>
        <v>0</v>
      </c>
    </row>
    <row r="322" customFormat="false" ht="12.75" hidden="false" customHeight="false" outlineLevel="0" collapsed="false">
      <c r="A322" s="5" t="n">
        <v>388</v>
      </c>
      <c r="B322" s="6" t="s">
        <v>1431</v>
      </c>
      <c r="C322" s="6" t="s">
        <v>12</v>
      </c>
      <c r="D322" s="6" t="s">
        <v>1432</v>
      </c>
      <c r="E322" s="6" t="s">
        <v>14</v>
      </c>
      <c r="F322" s="6" t="n">
        <v>1195.783192405</v>
      </c>
      <c r="G322" s="6" t="n">
        <v>1195.783</v>
      </c>
      <c r="H322" s="6" t="s">
        <v>792</v>
      </c>
      <c r="I322" s="0" t="n">
        <v>0.4</v>
      </c>
      <c r="J322" s="0" t="n">
        <f aca="false">CONVERT(G322,"m^2","ha")</f>
        <v>0.1195783</v>
      </c>
      <c r="K322" s="0" t="b">
        <f aca="false">IF(J322&gt;(I322*2),((ROUNDDOWN(J322/I322,0))-1))</f>
        <v>0</v>
      </c>
    </row>
    <row r="323" customFormat="false" ht="12.75" hidden="false" customHeight="false" outlineLevel="0" collapsed="false">
      <c r="A323" s="5" t="n">
        <v>389</v>
      </c>
      <c r="B323" s="6" t="s">
        <v>1433</v>
      </c>
      <c r="C323" s="6" t="s">
        <v>12</v>
      </c>
      <c r="D323" s="6" t="s">
        <v>1434</v>
      </c>
      <c r="E323" s="6" t="s">
        <v>14</v>
      </c>
      <c r="F323" s="6" t="n">
        <v>2175.86849762</v>
      </c>
      <c r="G323" s="6" t="n">
        <v>2175.868</v>
      </c>
      <c r="H323" s="6" t="s">
        <v>792</v>
      </c>
      <c r="I323" s="0" t="n">
        <v>0.4</v>
      </c>
      <c r="J323" s="0" t="n">
        <f aca="false">CONVERT(G323,"m^2","ha")</f>
        <v>0.2175868</v>
      </c>
      <c r="K323" s="0" t="b">
        <f aca="false">IF(J323&gt;(I323*2),((ROUNDDOWN(J323/I323,0))-1))</f>
        <v>0</v>
      </c>
    </row>
    <row r="324" customFormat="false" ht="12.75" hidden="false" customHeight="false" outlineLevel="0" collapsed="false">
      <c r="A324" s="5" t="n">
        <v>390</v>
      </c>
      <c r="B324" s="6" t="s">
        <v>1435</v>
      </c>
      <c r="C324" s="6" t="s">
        <v>89</v>
      </c>
      <c r="D324" s="6" t="s">
        <v>1436</v>
      </c>
      <c r="E324" s="6" t="s">
        <v>14</v>
      </c>
      <c r="F324" s="6" t="n">
        <v>1011.87202815</v>
      </c>
      <c r="G324" s="6" t="n">
        <v>1011.872</v>
      </c>
      <c r="H324" s="6" t="s">
        <v>792</v>
      </c>
      <c r="I324" s="0" t="n">
        <v>0.4</v>
      </c>
      <c r="J324" s="0" t="n">
        <f aca="false">CONVERT(G324,"m^2","ha")</f>
        <v>0.1011872</v>
      </c>
      <c r="K324" s="0" t="b">
        <f aca="false">IF(J324&gt;(I324*2),((ROUNDDOWN(J324/I324,0))-1))</f>
        <v>0</v>
      </c>
    </row>
    <row r="325" customFormat="false" ht="12.75" hidden="false" customHeight="false" outlineLevel="0" collapsed="false">
      <c r="A325" s="5" t="n">
        <v>391</v>
      </c>
      <c r="B325" s="6" t="s">
        <v>1437</v>
      </c>
      <c r="C325" s="6" t="s">
        <v>12</v>
      </c>
      <c r="D325" s="6" t="s">
        <v>1438</v>
      </c>
      <c r="E325" s="6" t="s">
        <v>14</v>
      </c>
      <c r="F325" s="6" t="n">
        <v>1302.860489145</v>
      </c>
      <c r="G325" s="6" t="n">
        <v>1302.86</v>
      </c>
      <c r="H325" s="6" t="s">
        <v>792</v>
      </c>
      <c r="I325" s="0" t="n">
        <v>0.4</v>
      </c>
      <c r="J325" s="0" t="n">
        <f aca="false">CONVERT(G325,"m^2","ha")</f>
        <v>0.130286</v>
      </c>
      <c r="K325" s="0" t="b">
        <f aca="false">IF(J325&gt;(I325*2),((ROUNDDOWN(J325/I325,0))-1))</f>
        <v>0</v>
      </c>
    </row>
    <row r="326" customFormat="false" ht="12.75" hidden="false" customHeight="false" outlineLevel="0" collapsed="false">
      <c r="A326" s="5" t="n">
        <v>393</v>
      </c>
      <c r="B326" s="6" t="s">
        <v>1439</v>
      </c>
      <c r="C326" s="6" t="s">
        <v>12</v>
      </c>
      <c r="D326" s="6" t="s">
        <v>1440</v>
      </c>
      <c r="E326" s="6" t="s">
        <v>14</v>
      </c>
      <c r="F326" s="6" t="n">
        <v>1650.1544583</v>
      </c>
      <c r="G326" s="6" t="n">
        <v>1650.154</v>
      </c>
      <c r="H326" s="6" t="s">
        <v>792</v>
      </c>
      <c r="I326" s="0" t="n">
        <v>0.4</v>
      </c>
      <c r="J326" s="0" t="n">
        <f aca="false">CONVERT(G326,"m^2","ha")</f>
        <v>0.1650154</v>
      </c>
      <c r="K326" s="0" t="b">
        <f aca="false">IF(J326&gt;(I326*2),((ROUNDDOWN(J326/I326,0))-1))</f>
        <v>0</v>
      </c>
    </row>
    <row r="327" customFormat="false" ht="12.75" hidden="false" customHeight="false" outlineLevel="0" collapsed="false">
      <c r="A327" s="5" t="n">
        <v>394</v>
      </c>
      <c r="B327" s="6" t="s">
        <v>1441</v>
      </c>
      <c r="C327" s="6" t="s">
        <v>12</v>
      </c>
      <c r="D327" s="6" t="s">
        <v>1442</v>
      </c>
      <c r="E327" s="6" t="s">
        <v>14</v>
      </c>
      <c r="F327" s="6" t="n">
        <v>1079.3485833</v>
      </c>
      <c r="G327" s="6" t="n">
        <v>1079.349</v>
      </c>
      <c r="H327" s="6" t="s">
        <v>792</v>
      </c>
      <c r="I327" s="0" t="n">
        <v>0.4</v>
      </c>
      <c r="J327" s="0" t="n">
        <f aca="false">CONVERT(G327,"m^2","ha")</f>
        <v>0.1079349</v>
      </c>
      <c r="K327" s="0" t="b">
        <f aca="false">IF(J327&gt;(I327*2),((ROUNDDOWN(J327/I327,0))-1))</f>
        <v>0</v>
      </c>
    </row>
    <row r="328" customFormat="false" ht="12.75" hidden="false" customHeight="false" outlineLevel="0" collapsed="false">
      <c r="A328" s="5" t="n">
        <v>395</v>
      </c>
      <c r="B328" s="6" t="s">
        <v>1443</v>
      </c>
      <c r="C328" s="6" t="s">
        <v>12</v>
      </c>
      <c r="D328" s="6" t="s">
        <v>1444</v>
      </c>
      <c r="E328" s="6" t="s">
        <v>14</v>
      </c>
      <c r="F328" s="6" t="n">
        <v>2622.949708965</v>
      </c>
      <c r="G328" s="6" t="n">
        <v>2622.669</v>
      </c>
      <c r="H328" s="6" t="s">
        <v>792</v>
      </c>
      <c r="I328" s="0" t="n">
        <v>0.4</v>
      </c>
      <c r="J328" s="0" t="n">
        <f aca="false">CONVERT(G328,"m^2","ha")</f>
        <v>0.2622669</v>
      </c>
      <c r="K328" s="0" t="b">
        <f aca="false">IF(J328&gt;(I328*2),((ROUNDDOWN(J328/I328,0))-1))</f>
        <v>0</v>
      </c>
    </row>
    <row r="329" customFormat="false" ht="12.75" hidden="false" customHeight="false" outlineLevel="0" collapsed="false">
      <c r="A329" s="5" t="n">
        <v>396</v>
      </c>
      <c r="B329" s="6" t="s">
        <v>1445</v>
      </c>
      <c r="C329" s="6" t="s">
        <v>12</v>
      </c>
      <c r="D329" s="6" t="s">
        <v>1446</v>
      </c>
      <c r="E329" s="6" t="s">
        <v>14</v>
      </c>
      <c r="F329" s="6" t="n">
        <v>1059.77953867</v>
      </c>
      <c r="G329" s="6" t="n">
        <v>1059.78</v>
      </c>
      <c r="H329" s="6" t="s">
        <v>792</v>
      </c>
      <c r="I329" s="0" t="n">
        <v>0.4</v>
      </c>
      <c r="J329" s="0" t="n">
        <f aca="false">CONVERT(G329,"m^2","ha")</f>
        <v>0.105978</v>
      </c>
      <c r="K329" s="0" t="b">
        <f aca="false">IF(J329&gt;(I329*2),((ROUNDDOWN(J329/I329,0))-1))</f>
        <v>0</v>
      </c>
    </row>
    <row r="330" customFormat="false" ht="12.75" hidden="false" customHeight="false" outlineLevel="0" collapsed="false">
      <c r="A330" s="5" t="n">
        <v>421</v>
      </c>
      <c r="B330" s="6" t="s">
        <v>1447</v>
      </c>
      <c r="C330" s="6" t="s">
        <v>12</v>
      </c>
      <c r="D330" s="6" t="s">
        <v>1448</v>
      </c>
      <c r="E330" s="6" t="s">
        <v>14</v>
      </c>
      <c r="F330" s="6" t="n">
        <v>7159.26398911</v>
      </c>
      <c r="G330" s="6" t="n">
        <v>7159.264</v>
      </c>
      <c r="H330" s="6" t="s">
        <v>792</v>
      </c>
      <c r="I330" s="0" t="n">
        <v>0.4</v>
      </c>
      <c r="J330" s="0" t="n">
        <f aca="false">CONVERT(G330,"m^2","ha")</f>
        <v>0.7159264</v>
      </c>
      <c r="K330" s="0" t="b">
        <f aca="false">IF(J330&gt;(I330*2),((ROUNDDOWN(J330/I330,0))-1))</f>
        <v>0</v>
      </c>
    </row>
    <row r="331" customFormat="false" ht="12.75" hidden="false" customHeight="false" outlineLevel="0" collapsed="false">
      <c r="A331" s="5" t="n">
        <v>422</v>
      </c>
      <c r="B331" s="6" t="s">
        <v>1449</v>
      </c>
      <c r="C331" s="6" t="s">
        <v>12</v>
      </c>
      <c r="D331" s="6" t="s">
        <v>1450</v>
      </c>
      <c r="E331" s="6" t="s">
        <v>14</v>
      </c>
      <c r="F331" s="6" t="n">
        <v>7152.8905365</v>
      </c>
      <c r="G331" s="6" t="n">
        <v>7152.891</v>
      </c>
      <c r="H331" s="6" t="s">
        <v>792</v>
      </c>
      <c r="I331" s="0" t="n">
        <v>0.4</v>
      </c>
      <c r="J331" s="0" t="n">
        <f aca="false">CONVERT(G331,"m^2","ha")</f>
        <v>0.7152891</v>
      </c>
      <c r="K331" s="0" t="b">
        <f aca="false">IF(J331&gt;(I331*2),((ROUNDDOWN(J331/I331,0))-1))</f>
        <v>0</v>
      </c>
    </row>
    <row r="332" customFormat="false" ht="12.75" hidden="false" customHeight="false" outlineLevel="0" collapsed="false">
      <c r="A332" s="5" t="n">
        <v>425</v>
      </c>
      <c r="B332" s="6" t="s">
        <v>1451</v>
      </c>
      <c r="C332" s="6" t="s">
        <v>12</v>
      </c>
      <c r="D332" s="6" t="s">
        <v>1452</v>
      </c>
      <c r="E332" s="6" t="s">
        <v>14</v>
      </c>
      <c r="F332" s="6" t="n">
        <v>1318.316580955</v>
      </c>
      <c r="G332" s="6" t="n">
        <v>1318.317</v>
      </c>
      <c r="H332" s="6" t="s">
        <v>792</v>
      </c>
      <c r="I332" s="0" t="n">
        <v>0.4</v>
      </c>
      <c r="J332" s="0" t="n">
        <f aca="false">CONVERT(G332,"m^2","ha")</f>
        <v>0.1318317</v>
      </c>
      <c r="K332" s="0" t="b">
        <f aca="false">IF(J332&gt;(I332*2),((ROUNDDOWN(J332/I332,0))-1))</f>
        <v>0</v>
      </c>
    </row>
    <row r="333" customFormat="false" ht="12.75" hidden="false" customHeight="false" outlineLevel="0" collapsed="false">
      <c r="A333" s="5" t="n">
        <v>426</v>
      </c>
      <c r="B333" s="6" t="s">
        <v>1453</v>
      </c>
      <c r="C333" s="6" t="s">
        <v>12</v>
      </c>
      <c r="D333" s="6" t="s">
        <v>1454</v>
      </c>
      <c r="E333" s="6" t="s">
        <v>14</v>
      </c>
      <c r="F333" s="6" t="n">
        <v>2191.444178155</v>
      </c>
      <c r="G333" s="6" t="n">
        <v>2191.444</v>
      </c>
      <c r="H333" s="6" t="s">
        <v>792</v>
      </c>
      <c r="I333" s="0" t="n">
        <v>0.4</v>
      </c>
      <c r="J333" s="0" t="n">
        <f aca="false">CONVERT(G333,"m^2","ha")</f>
        <v>0.2191444</v>
      </c>
      <c r="K333" s="0" t="b">
        <f aca="false">IF(J333&gt;(I333*2),((ROUNDDOWN(J333/I333,0))-1))</f>
        <v>0</v>
      </c>
    </row>
    <row r="334" customFormat="false" ht="12.75" hidden="false" customHeight="false" outlineLevel="0" collapsed="false">
      <c r="A334" s="5" t="n">
        <v>429</v>
      </c>
      <c r="B334" s="6" t="s">
        <v>1455</v>
      </c>
      <c r="C334" s="6" t="s">
        <v>12</v>
      </c>
      <c r="D334" s="6" t="s">
        <v>1456</v>
      </c>
      <c r="E334" s="6" t="s">
        <v>14</v>
      </c>
      <c r="F334" s="6" t="n">
        <v>799.30042401</v>
      </c>
      <c r="G334" s="6" t="n">
        <v>799.3</v>
      </c>
      <c r="H334" s="6" t="s">
        <v>792</v>
      </c>
      <c r="I334" s="0" t="n">
        <v>0.4</v>
      </c>
      <c r="J334" s="0" t="n">
        <f aca="false">CONVERT(G334,"m^2","ha")</f>
        <v>0.07993</v>
      </c>
      <c r="K334" s="0" t="b">
        <f aca="false">IF(J334&gt;(I334*2),((ROUNDDOWN(J334/I334,0))-1))</f>
        <v>0</v>
      </c>
    </row>
    <row r="335" customFormat="false" ht="12.75" hidden="false" customHeight="false" outlineLevel="0" collapsed="false">
      <c r="A335" s="5" t="n">
        <v>430</v>
      </c>
      <c r="B335" s="6" t="s">
        <v>1457</v>
      </c>
      <c r="C335" s="6" t="s">
        <v>12</v>
      </c>
      <c r="D335" s="6" t="s">
        <v>1458</v>
      </c>
      <c r="E335" s="6" t="s">
        <v>14</v>
      </c>
      <c r="F335" s="6" t="n">
        <v>1023.85622327</v>
      </c>
      <c r="G335" s="6" t="n">
        <v>1024.386</v>
      </c>
      <c r="H335" s="6" t="s">
        <v>792</v>
      </c>
      <c r="I335" s="0" t="n">
        <v>0.4</v>
      </c>
      <c r="J335" s="0" t="n">
        <f aca="false">CONVERT(G335,"m^2","ha")</f>
        <v>0.1024386</v>
      </c>
      <c r="K335" s="0" t="b">
        <f aca="false">IF(J335&gt;(I335*2),((ROUNDDOWN(J335/I335,0))-1))</f>
        <v>0</v>
      </c>
    </row>
    <row r="336" customFormat="false" ht="12.75" hidden="false" customHeight="false" outlineLevel="0" collapsed="false">
      <c r="A336" s="5" t="n">
        <v>435</v>
      </c>
      <c r="B336" s="6" t="s">
        <v>1459</v>
      </c>
      <c r="C336" s="6" t="s">
        <v>12</v>
      </c>
      <c r="D336" s="6" t="s">
        <v>1460</v>
      </c>
      <c r="E336" s="6" t="s">
        <v>14</v>
      </c>
      <c r="F336" s="6" t="n">
        <v>2051.48055257</v>
      </c>
      <c r="G336" s="6" t="n">
        <v>2051.481</v>
      </c>
      <c r="H336" s="6" t="s">
        <v>792</v>
      </c>
      <c r="I336" s="0" t="n">
        <v>0.4</v>
      </c>
      <c r="J336" s="0" t="n">
        <f aca="false">CONVERT(G336,"m^2","ha")</f>
        <v>0.2051481</v>
      </c>
      <c r="K336" s="0" t="b">
        <f aca="false">IF(J336&gt;(I336*2),((ROUNDDOWN(J336/I336,0))-1))</f>
        <v>0</v>
      </c>
    </row>
    <row r="337" customFormat="false" ht="12.75" hidden="false" customHeight="false" outlineLevel="0" collapsed="false">
      <c r="A337" s="5" t="n">
        <v>438</v>
      </c>
      <c r="B337" s="6" t="s">
        <v>1461</v>
      </c>
      <c r="C337" s="6" t="s">
        <v>12</v>
      </c>
      <c r="D337" s="6" t="s">
        <v>1462</v>
      </c>
      <c r="E337" s="6" t="s">
        <v>14</v>
      </c>
      <c r="F337" s="6" t="n">
        <v>818.97879873</v>
      </c>
      <c r="G337" s="6" t="n">
        <v>818.979</v>
      </c>
      <c r="H337" s="6" t="s">
        <v>792</v>
      </c>
      <c r="I337" s="0" t="n">
        <v>0.4</v>
      </c>
      <c r="J337" s="0" t="n">
        <f aca="false">CONVERT(G337,"m^2","ha")</f>
        <v>0.0818979</v>
      </c>
      <c r="K337" s="0" t="b">
        <f aca="false">IF(J337&gt;(I337*2),((ROUNDDOWN(J337/I337,0))-1))</f>
        <v>0</v>
      </c>
    </row>
    <row r="338" customFormat="false" ht="12.75" hidden="false" customHeight="false" outlineLevel="0" collapsed="false">
      <c r="A338" s="5" t="n">
        <v>439</v>
      </c>
      <c r="B338" s="6" t="s">
        <v>1463</v>
      </c>
      <c r="C338" s="6" t="s">
        <v>12</v>
      </c>
      <c r="D338" s="6" t="s">
        <v>1464</v>
      </c>
      <c r="E338" s="6" t="s">
        <v>14</v>
      </c>
      <c r="F338" s="6" t="n">
        <v>1616.061956975</v>
      </c>
      <c r="G338" s="6" t="n">
        <v>1616.062</v>
      </c>
      <c r="H338" s="6" t="s">
        <v>792</v>
      </c>
      <c r="I338" s="0" t="n">
        <v>0.4</v>
      </c>
      <c r="J338" s="0" t="n">
        <f aca="false">CONVERT(G338,"m^2","ha")</f>
        <v>0.1616062</v>
      </c>
      <c r="K338" s="0" t="b">
        <f aca="false">IF(J338&gt;(I338*2),((ROUNDDOWN(J338/I338,0))-1))</f>
        <v>0</v>
      </c>
    </row>
    <row r="339" customFormat="false" ht="12.75" hidden="false" customHeight="false" outlineLevel="0" collapsed="false">
      <c r="A339" s="5" t="n">
        <v>440</v>
      </c>
      <c r="B339" s="6" t="s">
        <v>1465</v>
      </c>
      <c r="C339" s="6" t="s">
        <v>12</v>
      </c>
      <c r="D339" s="6" t="s">
        <v>1466</v>
      </c>
      <c r="E339" s="6" t="s">
        <v>14</v>
      </c>
      <c r="F339" s="6" t="n">
        <v>1636.25494881</v>
      </c>
      <c r="G339" s="6" t="n">
        <v>1636.255</v>
      </c>
      <c r="H339" s="6" t="s">
        <v>792</v>
      </c>
      <c r="I339" s="0" t="n">
        <v>0.4</v>
      </c>
      <c r="J339" s="0" t="n">
        <f aca="false">CONVERT(G339,"m^2","ha")</f>
        <v>0.1636255</v>
      </c>
      <c r="K339" s="0" t="b">
        <f aca="false">IF(J339&gt;(I339*2),((ROUNDDOWN(J339/I339,0))-1))</f>
        <v>0</v>
      </c>
    </row>
    <row r="340" customFormat="false" ht="12.75" hidden="false" customHeight="false" outlineLevel="0" collapsed="false">
      <c r="A340" s="5" t="n">
        <v>441</v>
      </c>
      <c r="B340" s="6" t="s">
        <v>1467</v>
      </c>
      <c r="C340" s="6" t="s">
        <v>12</v>
      </c>
      <c r="D340" s="6" t="s">
        <v>1468</v>
      </c>
      <c r="E340" s="6" t="s">
        <v>14</v>
      </c>
      <c r="F340" s="6" t="n">
        <v>14428.507589745</v>
      </c>
      <c r="G340" s="6" t="n">
        <v>14428.109</v>
      </c>
      <c r="H340" s="6" t="s">
        <v>792</v>
      </c>
      <c r="I340" s="0" t="n">
        <v>0.4</v>
      </c>
      <c r="J340" s="0" t="n">
        <f aca="false">CONVERT(G340,"m^2","ha")</f>
        <v>1.4428109</v>
      </c>
      <c r="K340" s="0" t="n">
        <f aca="false">IF(J340&gt;(I340*2),((ROUNDDOWN(J340/I340,0))-1))</f>
        <v>2</v>
      </c>
    </row>
    <row r="341" customFormat="false" ht="12.75" hidden="false" customHeight="false" outlineLevel="0" collapsed="false">
      <c r="A341" s="5" t="n">
        <v>442</v>
      </c>
      <c r="B341" s="6" t="s">
        <v>1469</v>
      </c>
      <c r="C341" s="6" t="s">
        <v>12</v>
      </c>
      <c r="D341" s="6" t="s">
        <v>1470</v>
      </c>
      <c r="E341" s="6" t="s">
        <v>14</v>
      </c>
      <c r="F341" s="6" t="n">
        <v>3392.49747354</v>
      </c>
      <c r="G341" s="6" t="n">
        <v>3392.497</v>
      </c>
      <c r="H341" s="6" t="s">
        <v>792</v>
      </c>
      <c r="I341" s="0" t="n">
        <v>0.4</v>
      </c>
      <c r="J341" s="0" t="n">
        <f aca="false">CONVERT(G341,"m^2","ha")</f>
        <v>0.3392497</v>
      </c>
      <c r="K341" s="0" t="b">
        <f aca="false">IF(J341&gt;(I341*2),((ROUNDDOWN(J341/I341,0))-1))</f>
        <v>0</v>
      </c>
    </row>
    <row r="342" customFormat="false" ht="12.75" hidden="false" customHeight="false" outlineLevel="0" collapsed="false">
      <c r="A342" s="5" t="n">
        <v>445</v>
      </c>
      <c r="B342" s="6" t="s">
        <v>1471</v>
      </c>
      <c r="C342" s="6" t="s">
        <v>12</v>
      </c>
      <c r="D342" s="6" t="s">
        <v>1472</v>
      </c>
      <c r="E342" s="6" t="s">
        <v>14</v>
      </c>
      <c r="F342" s="6" t="n">
        <v>839.525860555</v>
      </c>
      <c r="G342" s="6" t="n">
        <v>839.526</v>
      </c>
      <c r="H342" s="6" t="s">
        <v>792</v>
      </c>
      <c r="I342" s="0" t="n">
        <v>0.4</v>
      </c>
      <c r="J342" s="0" t="n">
        <f aca="false">CONVERT(G342,"m^2","ha")</f>
        <v>0.0839526</v>
      </c>
      <c r="K342" s="0" t="b">
        <f aca="false">IF(J342&gt;(I342*2),((ROUNDDOWN(J342/I342,0))-1))</f>
        <v>0</v>
      </c>
    </row>
    <row r="343" customFormat="false" ht="12.75" hidden="false" customHeight="false" outlineLevel="0" collapsed="false">
      <c r="A343" s="5" t="n">
        <v>446</v>
      </c>
      <c r="B343" s="6" t="s">
        <v>1473</v>
      </c>
      <c r="C343" s="6" t="s">
        <v>12</v>
      </c>
      <c r="D343" s="6" t="s">
        <v>1474</v>
      </c>
      <c r="E343" s="6" t="s">
        <v>14</v>
      </c>
      <c r="F343" s="6" t="n">
        <v>1673.90946407</v>
      </c>
      <c r="G343" s="6" t="n">
        <v>1673.909</v>
      </c>
      <c r="H343" s="6" t="s">
        <v>792</v>
      </c>
      <c r="I343" s="0" t="n">
        <v>0.4</v>
      </c>
      <c r="J343" s="0" t="n">
        <f aca="false">CONVERT(G343,"m^2","ha")</f>
        <v>0.1673909</v>
      </c>
      <c r="K343" s="0" t="b">
        <f aca="false">IF(J343&gt;(I343*2),((ROUNDDOWN(J343/I343,0))-1))</f>
        <v>0</v>
      </c>
    </row>
    <row r="344" customFormat="false" ht="12.75" hidden="false" customHeight="false" outlineLevel="0" collapsed="false">
      <c r="A344" s="5" t="n">
        <v>447</v>
      </c>
      <c r="B344" s="6" t="s">
        <v>1475</v>
      </c>
      <c r="C344" s="6" t="s">
        <v>12</v>
      </c>
      <c r="D344" s="6" t="s">
        <v>1476</v>
      </c>
      <c r="E344" s="6" t="s">
        <v>14</v>
      </c>
      <c r="F344" s="6" t="n">
        <v>866.769271955</v>
      </c>
      <c r="G344" s="6" t="n">
        <v>866.769</v>
      </c>
      <c r="H344" s="6" t="s">
        <v>792</v>
      </c>
      <c r="I344" s="0" t="n">
        <v>0.4</v>
      </c>
      <c r="J344" s="0" t="n">
        <f aca="false">CONVERT(G344,"m^2","ha")</f>
        <v>0.0866769</v>
      </c>
      <c r="K344" s="0" t="b">
        <f aca="false">IF(J344&gt;(I344*2),((ROUNDDOWN(J344/I344,0))-1))</f>
        <v>0</v>
      </c>
    </row>
    <row r="345" customFormat="false" ht="12.75" hidden="false" customHeight="false" outlineLevel="0" collapsed="false">
      <c r="A345" s="5" t="n">
        <v>449</v>
      </c>
      <c r="B345" s="6" t="s">
        <v>1477</v>
      </c>
      <c r="C345" s="6" t="s">
        <v>89</v>
      </c>
      <c r="D345" s="6" t="s">
        <v>1478</v>
      </c>
      <c r="E345" s="6" t="s">
        <v>14</v>
      </c>
      <c r="F345" s="6" t="n">
        <v>2154.53295371</v>
      </c>
      <c r="G345" s="6" t="n">
        <v>2154.533</v>
      </c>
      <c r="H345" s="6" t="s">
        <v>792</v>
      </c>
      <c r="I345" s="0" t="n">
        <v>0.4</v>
      </c>
      <c r="J345" s="0" t="n">
        <f aca="false">CONVERT(G345,"m^2","ha")</f>
        <v>0.2154533</v>
      </c>
      <c r="K345" s="0" t="b">
        <f aca="false">IF(J345&gt;(I345*2),((ROUNDDOWN(J345/I345,0))-1))</f>
        <v>0</v>
      </c>
    </row>
    <row r="346" customFormat="false" ht="12.75" hidden="false" customHeight="false" outlineLevel="0" collapsed="false">
      <c r="A346" s="5" t="n">
        <v>450</v>
      </c>
      <c r="B346" s="6" t="s">
        <v>1479</v>
      </c>
      <c r="C346" s="6" t="s">
        <v>12</v>
      </c>
      <c r="D346" s="6" t="s">
        <v>1480</v>
      </c>
      <c r="E346" s="6" t="s">
        <v>14</v>
      </c>
      <c r="F346" s="6" t="n">
        <v>1249.236037765</v>
      </c>
      <c r="G346" s="6" t="n">
        <v>1248.79</v>
      </c>
      <c r="H346" s="6" t="s">
        <v>792</v>
      </c>
      <c r="I346" s="0" t="n">
        <v>0.4</v>
      </c>
      <c r="J346" s="0" t="n">
        <f aca="false">CONVERT(G346,"m^2","ha")</f>
        <v>0.124879</v>
      </c>
      <c r="K346" s="0" t="b">
        <f aca="false">IF(J346&gt;(I346*2),((ROUNDDOWN(J346/I346,0))-1))</f>
        <v>0</v>
      </c>
    </row>
    <row r="347" customFormat="false" ht="12.75" hidden="false" customHeight="false" outlineLevel="0" collapsed="false">
      <c r="A347" s="5" t="n">
        <v>453</v>
      </c>
      <c r="B347" s="6" t="s">
        <v>1481</v>
      </c>
      <c r="C347" s="6" t="s">
        <v>12</v>
      </c>
      <c r="D347" s="6" t="s">
        <v>1482</v>
      </c>
      <c r="E347" s="6" t="s">
        <v>14</v>
      </c>
      <c r="F347" s="6" t="n">
        <v>1410.38386769</v>
      </c>
      <c r="G347" s="6" t="n">
        <v>1410.384</v>
      </c>
      <c r="H347" s="6" t="s">
        <v>792</v>
      </c>
      <c r="I347" s="0" t="n">
        <v>0.4</v>
      </c>
      <c r="J347" s="0" t="n">
        <f aca="false">CONVERT(G347,"m^2","ha")</f>
        <v>0.1410384</v>
      </c>
      <c r="K347" s="0" t="b">
        <f aca="false">IF(J347&gt;(I347*2),((ROUNDDOWN(J347/I347,0))-1))</f>
        <v>0</v>
      </c>
    </row>
    <row r="348" customFormat="false" ht="12.75" hidden="false" customHeight="false" outlineLevel="0" collapsed="false">
      <c r="A348" s="5" t="n">
        <v>454</v>
      </c>
      <c r="B348" s="6" t="s">
        <v>1483</v>
      </c>
      <c r="C348" s="6" t="s">
        <v>12</v>
      </c>
      <c r="D348" s="6" t="s">
        <v>1484</v>
      </c>
      <c r="E348" s="6" t="s">
        <v>14</v>
      </c>
      <c r="F348" s="6" t="n">
        <v>4064.351606335</v>
      </c>
      <c r="G348" s="6" t="n">
        <v>4064.31</v>
      </c>
      <c r="H348" s="6" t="s">
        <v>792</v>
      </c>
      <c r="I348" s="0" t="n">
        <v>0.4</v>
      </c>
      <c r="J348" s="0" t="n">
        <f aca="false">CONVERT(G348,"m^2","ha")</f>
        <v>0.406431</v>
      </c>
      <c r="K348" s="0" t="b">
        <f aca="false">IF(J348&gt;(I348*2),((ROUNDDOWN(J348/I348,0))-1))</f>
        <v>0</v>
      </c>
    </row>
    <row r="349" customFormat="false" ht="12.75" hidden="false" customHeight="false" outlineLevel="0" collapsed="false">
      <c r="A349" s="5" t="n">
        <v>456</v>
      </c>
      <c r="B349" s="6" t="s">
        <v>1485</v>
      </c>
      <c r="C349" s="6" t="s">
        <v>12</v>
      </c>
      <c r="D349" s="6" t="s">
        <v>1486</v>
      </c>
      <c r="E349" s="6" t="s">
        <v>14</v>
      </c>
      <c r="F349" s="6" t="n">
        <v>848.87969619</v>
      </c>
      <c r="G349" s="6" t="n">
        <v>848.88</v>
      </c>
      <c r="H349" s="6" t="s">
        <v>792</v>
      </c>
      <c r="I349" s="0" t="n">
        <v>0.4</v>
      </c>
      <c r="J349" s="0" t="n">
        <f aca="false">CONVERT(G349,"m^2","ha")</f>
        <v>0.084888</v>
      </c>
      <c r="K349" s="0" t="b">
        <f aca="false">IF(J349&gt;(I349*2),((ROUNDDOWN(J349/I349,0))-1))</f>
        <v>0</v>
      </c>
    </row>
    <row r="350" customFormat="false" ht="12.75" hidden="false" customHeight="false" outlineLevel="0" collapsed="false">
      <c r="A350" s="5" t="n">
        <v>457</v>
      </c>
      <c r="B350" s="6" t="s">
        <v>1487</v>
      </c>
      <c r="C350" s="6" t="s">
        <v>12</v>
      </c>
      <c r="D350" s="6" t="s">
        <v>1488</v>
      </c>
      <c r="E350" s="6" t="s">
        <v>14</v>
      </c>
      <c r="F350" s="6" t="n">
        <v>551.65692622</v>
      </c>
      <c r="G350" s="6" t="n">
        <v>551.657</v>
      </c>
      <c r="H350" s="6" t="s">
        <v>792</v>
      </c>
      <c r="I350" s="0" t="n">
        <v>0.4</v>
      </c>
      <c r="J350" s="0" t="n">
        <f aca="false">CONVERT(G350,"m^2","ha")</f>
        <v>0.0551657</v>
      </c>
      <c r="K350" s="0" t="b">
        <f aca="false">IF(J350&gt;(I350*2),((ROUNDDOWN(J350/I350,0))-1))</f>
        <v>0</v>
      </c>
    </row>
    <row r="351" customFormat="false" ht="12.75" hidden="false" customHeight="false" outlineLevel="0" collapsed="false">
      <c r="A351" s="5" t="n">
        <v>458</v>
      </c>
      <c r="B351" s="6" t="s">
        <v>1489</v>
      </c>
      <c r="C351" s="6" t="s">
        <v>12</v>
      </c>
      <c r="D351" s="6" t="s">
        <v>1490</v>
      </c>
      <c r="E351" s="6" t="s">
        <v>14</v>
      </c>
      <c r="F351" s="6" t="n">
        <v>821.000523095</v>
      </c>
      <c r="G351" s="6" t="n">
        <v>821.001</v>
      </c>
      <c r="H351" s="6" t="s">
        <v>792</v>
      </c>
      <c r="I351" s="0" t="n">
        <v>0.4</v>
      </c>
      <c r="J351" s="0" t="n">
        <f aca="false">CONVERT(G351,"m^2","ha")</f>
        <v>0.0821001</v>
      </c>
      <c r="K351" s="0" t="b">
        <f aca="false">IF(J351&gt;(I351*2),((ROUNDDOWN(J351/I351,0))-1))</f>
        <v>0</v>
      </c>
    </row>
    <row r="352" customFormat="false" ht="12.75" hidden="false" customHeight="false" outlineLevel="0" collapsed="false">
      <c r="A352" s="5" t="n">
        <v>460</v>
      </c>
      <c r="B352" s="6" t="s">
        <v>1491</v>
      </c>
      <c r="C352" s="6" t="s">
        <v>12</v>
      </c>
      <c r="D352" s="6" t="s">
        <v>1492</v>
      </c>
      <c r="E352" s="6" t="s">
        <v>14</v>
      </c>
      <c r="F352" s="6" t="n">
        <v>4030.34287082</v>
      </c>
      <c r="G352" s="6" t="n">
        <v>4030.343</v>
      </c>
      <c r="H352" s="6" t="s">
        <v>792</v>
      </c>
      <c r="I352" s="0" t="n">
        <v>0.4</v>
      </c>
      <c r="J352" s="0" t="n">
        <f aca="false">CONVERT(G352,"m^2","ha")</f>
        <v>0.4030343</v>
      </c>
      <c r="K352" s="0" t="b">
        <f aca="false">IF(J352&gt;(I352*2),((ROUNDDOWN(J352/I352,0))-1))</f>
        <v>0</v>
      </c>
    </row>
    <row r="353" customFormat="false" ht="12.75" hidden="false" customHeight="false" outlineLevel="0" collapsed="false">
      <c r="A353" s="5" t="n">
        <v>461</v>
      </c>
      <c r="B353" s="6" t="s">
        <v>1493</v>
      </c>
      <c r="C353" s="6" t="s">
        <v>12</v>
      </c>
      <c r="D353" s="6" t="s">
        <v>1494</v>
      </c>
      <c r="E353" s="6" t="s">
        <v>14</v>
      </c>
      <c r="F353" s="6" t="n">
        <v>3108.36060575</v>
      </c>
      <c r="G353" s="6" t="n">
        <v>3108.361</v>
      </c>
      <c r="H353" s="6" t="s">
        <v>792</v>
      </c>
      <c r="I353" s="0" t="n">
        <v>0.4</v>
      </c>
      <c r="J353" s="0" t="n">
        <f aca="false">CONVERT(G353,"m^2","ha")</f>
        <v>0.3108361</v>
      </c>
      <c r="K353" s="0" t="b">
        <f aca="false">IF(J353&gt;(I353*2),((ROUNDDOWN(J353/I353,0))-1))</f>
        <v>0</v>
      </c>
    </row>
    <row r="354" customFormat="false" ht="12.75" hidden="false" customHeight="false" outlineLevel="0" collapsed="false">
      <c r="A354" s="5" t="n">
        <v>463</v>
      </c>
      <c r="B354" s="6" t="s">
        <v>1495</v>
      </c>
      <c r="C354" s="6" t="s">
        <v>89</v>
      </c>
      <c r="D354" s="6" t="s">
        <v>1496</v>
      </c>
      <c r="E354" s="6" t="s">
        <v>14</v>
      </c>
      <c r="F354" s="6" t="n">
        <v>1280.13814929</v>
      </c>
      <c r="G354" s="6" t="n">
        <v>1280.138</v>
      </c>
      <c r="H354" s="6" t="s">
        <v>792</v>
      </c>
      <c r="I354" s="0" t="n">
        <v>0.4</v>
      </c>
      <c r="J354" s="0" t="n">
        <f aca="false">CONVERT(G354,"m^2","ha")</f>
        <v>0.1280138</v>
      </c>
      <c r="K354" s="0" t="b">
        <f aca="false">IF(J354&gt;(I354*2),((ROUNDDOWN(J354/I354,0))-1))</f>
        <v>0</v>
      </c>
    </row>
    <row r="355" customFormat="false" ht="12.75" hidden="false" customHeight="false" outlineLevel="0" collapsed="false">
      <c r="A355" s="5" t="n">
        <v>464</v>
      </c>
      <c r="B355" s="6" t="s">
        <v>1497</v>
      </c>
      <c r="C355" s="6" t="s">
        <v>12</v>
      </c>
      <c r="D355" s="6" t="s">
        <v>1498</v>
      </c>
      <c r="E355" s="6" t="s">
        <v>14</v>
      </c>
      <c r="F355" s="6" t="n">
        <v>1204.825788805</v>
      </c>
      <c r="G355" s="6" t="n">
        <v>1204.826</v>
      </c>
      <c r="H355" s="6" t="s">
        <v>792</v>
      </c>
      <c r="I355" s="0" t="n">
        <v>0.4</v>
      </c>
      <c r="J355" s="0" t="n">
        <f aca="false">CONVERT(G355,"m^2","ha")</f>
        <v>0.1204826</v>
      </c>
      <c r="K355" s="0" t="b">
        <f aca="false">IF(J355&gt;(I355*2),((ROUNDDOWN(J355/I355,0))-1))</f>
        <v>0</v>
      </c>
    </row>
    <row r="356" customFormat="false" ht="12.75" hidden="false" customHeight="false" outlineLevel="0" collapsed="false">
      <c r="A356" s="5" t="n">
        <v>465</v>
      </c>
      <c r="B356" s="6" t="s">
        <v>1499</v>
      </c>
      <c r="C356" s="6" t="s">
        <v>12</v>
      </c>
      <c r="D356" s="6" t="s">
        <v>1500</v>
      </c>
      <c r="E356" s="6" t="s">
        <v>14</v>
      </c>
      <c r="F356" s="6" t="n">
        <v>763.88166618</v>
      </c>
      <c r="G356" s="6" t="n">
        <v>763.882</v>
      </c>
      <c r="H356" s="6" t="s">
        <v>792</v>
      </c>
      <c r="I356" s="0" t="n">
        <v>0.4</v>
      </c>
      <c r="J356" s="0" t="n">
        <f aca="false">CONVERT(G356,"m^2","ha")</f>
        <v>0.0763882</v>
      </c>
      <c r="K356" s="0" t="b">
        <f aca="false">IF(J356&gt;(I356*2),((ROUNDDOWN(J356/I356,0))-1))</f>
        <v>0</v>
      </c>
    </row>
    <row r="357" customFormat="false" ht="12.75" hidden="false" customHeight="false" outlineLevel="0" collapsed="false">
      <c r="A357" s="5" t="n">
        <v>467</v>
      </c>
      <c r="B357" s="6" t="s">
        <v>1501</v>
      </c>
      <c r="C357" s="6" t="s">
        <v>12</v>
      </c>
      <c r="D357" s="6" t="s">
        <v>1502</v>
      </c>
      <c r="E357" s="6" t="s">
        <v>14</v>
      </c>
      <c r="F357" s="6" t="n">
        <v>1703.15171292</v>
      </c>
      <c r="G357" s="6" t="n">
        <v>1703.152</v>
      </c>
      <c r="H357" s="6" t="s">
        <v>792</v>
      </c>
      <c r="I357" s="0" t="n">
        <v>0.4</v>
      </c>
      <c r="J357" s="0" t="n">
        <f aca="false">CONVERT(G357,"m^2","ha")</f>
        <v>0.1703152</v>
      </c>
      <c r="K357" s="0" t="b">
        <f aca="false">IF(J357&gt;(I357*2),((ROUNDDOWN(J357/I357,0))-1))</f>
        <v>0</v>
      </c>
    </row>
    <row r="358" customFormat="false" ht="12.75" hidden="false" customHeight="false" outlineLevel="0" collapsed="false">
      <c r="A358" s="5" t="n">
        <v>468</v>
      </c>
      <c r="B358" s="6" t="s">
        <v>1503</v>
      </c>
      <c r="C358" s="6" t="s">
        <v>12</v>
      </c>
      <c r="D358" s="6" t="s">
        <v>1504</v>
      </c>
      <c r="E358" s="6" t="s">
        <v>14</v>
      </c>
      <c r="F358" s="6" t="n">
        <v>4311.606674735</v>
      </c>
      <c r="G358" s="6" t="n">
        <v>4311.607</v>
      </c>
      <c r="H358" s="6" t="s">
        <v>792</v>
      </c>
      <c r="I358" s="0" t="n">
        <v>0.4</v>
      </c>
      <c r="J358" s="0" t="n">
        <f aca="false">CONVERT(G358,"m^2","ha")</f>
        <v>0.4311607</v>
      </c>
      <c r="K358" s="0" t="b">
        <f aca="false">IF(J358&gt;(I358*2),((ROUNDDOWN(J358/I358,0))-1))</f>
        <v>0</v>
      </c>
    </row>
    <row r="359" customFormat="false" ht="12.75" hidden="false" customHeight="false" outlineLevel="0" collapsed="false">
      <c r="A359" s="5" t="n">
        <v>469</v>
      </c>
      <c r="B359" s="6" t="s">
        <v>1505</v>
      </c>
      <c r="C359" s="6" t="s">
        <v>12</v>
      </c>
      <c r="D359" s="6" t="s">
        <v>1506</v>
      </c>
      <c r="E359" s="6" t="s">
        <v>14</v>
      </c>
      <c r="F359" s="6" t="n">
        <v>16301.89894187</v>
      </c>
      <c r="G359" s="6" t="n">
        <v>16301.899</v>
      </c>
      <c r="H359" s="6" t="s">
        <v>792</v>
      </c>
      <c r="I359" s="0" t="n">
        <v>0.4</v>
      </c>
      <c r="J359" s="0" t="n">
        <f aca="false">CONVERT(G359,"m^2","ha")</f>
        <v>1.6301899</v>
      </c>
      <c r="K359" s="0" t="n">
        <f aca="false">IF(J359&gt;(I359*2),((ROUNDDOWN(J359/I359,0))-1))</f>
        <v>3</v>
      </c>
    </row>
    <row r="360" customFormat="false" ht="12.75" hidden="false" customHeight="false" outlineLevel="0" collapsed="false">
      <c r="A360" s="5" t="n">
        <v>470</v>
      </c>
      <c r="B360" s="6" t="s">
        <v>1507</v>
      </c>
      <c r="C360" s="6" t="s">
        <v>12</v>
      </c>
      <c r="D360" s="6" t="s">
        <v>1508</v>
      </c>
      <c r="E360" s="6" t="s">
        <v>14</v>
      </c>
      <c r="F360" s="6" t="n">
        <v>3922.015684135</v>
      </c>
      <c r="G360" s="6" t="n">
        <v>3922.016</v>
      </c>
      <c r="H360" s="6" t="s">
        <v>792</v>
      </c>
      <c r="I360" s="0" t="n">
        <v>0.4</v>
      </c>
      <c r="J360" s="0" t="n">
        <f aca="false">CONVERT(G360,"m^2","ha")</f>
        <v>0.3922016</v>
      </c>
      <c r="K360" s="0" t="b">
        <f aca="false">IF(J360&gt;(I360*2),((ROUNDDOWN(J360/I360,0))-1))</f>
        <v>0</v>
      </c>
    </row>
    <row r="361" customFormat="false" ht="12.75" hidden="false" customHeight="false" outlineLevel="0" collapsed="false">
      <c r="A361" s="5" t="n">
        <v>472</v>
      </c>
      <c r="B361" s="6" t="s">
        <v>1509</v>
      </c>
      <c r="C361" s="6" t="s">
        <v>12</v>
      </c>
      <c r="D361" s="6" t="s">
        <v>1510</v>
      </c>
      <c r="E361" s="6" t="s">
        <v>14</v>
      </c>
      <c r="F361" s="6" t="n">
        <v>2102.03871517</v>
      </c>
      <c r="G361" s="6" t="n">
        <v>2102.039</v>
      </c>
      <c r="H361" s="6" t="s">
        <v>792</v>
      </c>
      <c r="I361" s="0" t="n">
        <v>0.4</v>
      </c>
      <c r="J361" s="0" t="n">
        <f aca="false">CONVERT(G361,"m^2","ha")</f>
        <v>0.2102039</v>
      </c>
      <c r="K361" s="0" t="b">
        <f aca="false">IF(J361&gt;(I361*2),((ROUNDDOWN(J361/I361,0))-1))</f>
        <v>0</v>
      </c>
    </row>
    <row r="362" customFormat="false" ht="12.75" hidden="false" customHeight="false" outlineLevel="0" collapsed="false">
      <c r="A362" s="5" t="n">
        <v>476</v>
      </c>
      <c r="B362" s="6" t="s">
        <v>1511</v>
      </c>
      <c r="C362" s="6" t="s">
        <v>12</v>
      </c>
      <c r="D362" s="6" t="s">
        <v>1512</v>
      </c>
      <c r="E362" s="6" t="s">
        <v>14</v>
      </c>
      <c r="F362" s="6" t="n">
        <v>10283.077242245</v>
      </c>
      <c r="G362" s="6" t="n">
        <v>10279.522</v>
      </c>
      <c r="H362" s="6" t="s">
        <v>792</v>
      </c>
      <c r="I362" s="0" t="n">
        <v>0.4</v>
      </c>
      <c r="J362" s="0" t="n">
        <f aca="false">CONVERT(G362,"m^2","ha")</f>
        <v>1.0279522</v>
      </c>
      <c r="K362" s="0" t="n">
        <f aca="false">IF(J362&gt;(I362*2),((ROUNDDOWN(J362/I362,0))-1))</f>
        <v>1</v>
      </c>
    </row>
    <row r="363" customFormat="false" ht="12.75" hidden="false" customHeight="false" outlineLevel="0" collapsed="false">
      <c r="A363" s="5" t="n">
        <v>477</v>
      </c>
      <c r="B363" s="6" t="s">
        <v>1513</v>
      </c>
      <c r="C363" s="6" t="s">
        <v>12</v>
      </c>
      <c r="D363" s="6" t="s">
        <v>1514</v>
      </c>
      <c r="E363" s="6" t="s">
        <v>14</v>
      </c>
      <c r="F363" s="6" t="n">
        <v>1820.4432055</v>
      </c>
      <c r="G363" s="6" t="n">
        <v>1820.443</v>
      </c>
      <c r="H363" s="6" t="s">
        <v>792</v>
      </c>
      <c r="I363" s="0" t="n">
        <v>0.4</v>
      </c>
      <c r="J363" s="0" t="n">
        <f aca="false">CONVERT(G363,"m^2","ha")</f>
        <v>0.1820443</v>
      </c>
      <c r="K363" s="0" t="b">
        <f aca="false">IF(J363&gt;(I363*2),((ROUNDDOWN(J363/I363,0))-1))</f>
        <v>0</v>
      </c>
    </row>
    <row r="364" customFormat="false" ht="12.75" hidden="false" customHeight="false" outlineLevel="0" collapsed="false">
      <c r="A364" s="5" t="n">
        <v>478</v>
      </c>
      <c r="B364" s="6" t="s">
        <v>1515</v>
      </c>
      <c r="C364" s="6" t="s">
        <v>12</v>
      </c>
      <c r="D364" s="6" t="s">
        <v>1516</v>
      </c>
      <c r="E364" s="6" t="s">
        <v>14</v>
      </c>
      <c r="F364" s="6" t="n">
        <v>793.27764222</v>
      </c>
      <c r="G364" s="6" t="n">
        <v>793.278</v>
      </c>
      <c r="H364" s="6" t="s">
        <v>792</v>
      </c>
      <c r="I364" s="0" t="n">
        <v>0.4</v>
      </c>
      <c r="J364" s="0" t="n">
        <f aca="false">CONVERT(G364,"m^2","ha")</f>
        <v>0.0793278</v>
      </c>
      <c r="K364" s="0" t="b">
        <f aca="false">IF(J364&gt;(I364*2),((ROUNDDOWN(J364/I364,0))-1))</f>
        <v>0</v>
      </c>
    </row>
    <row r="365" customFormat="false" ht="12.75" hidden="false" customHeight="false" outlineLevel="0" collapsed="false">
      <c r="A365" s="5" t="n">
        <v>479</v>
      </c>
      <c r="B365" s="6" t="s">
        <v>1517</v>
      </c>
      <c r="C365" s="6" t="s">
        <v>12</v>
      </c>
      <c r="D365" s="6" t="s">
        <v>1518</v>
      </c>
      <c r="E365" s="6" t="s">
        <v>14</v>
      </c>
      <c r="F365" s="6" t="n">
        <v>784.938437335</v>
      </c>
      <c r="G365" s="6" t="n">
        <v>784.938</v>
      </c>
      <c r="H365" s="6" t="s">
        <v>792</v>
      </c>
      <c r="I365" s="0" t="n">
        <v>0.4</v>
      </c>
      <c r="J365" s="0" t="n">
        <f aca="false">CONVERT(G365,"m^2","ha")</f>
        <v>0.0784938</v>
      </c>
      <c r="K365" s="0" t="b">
        <f aca="false">IF(J365&gt;(I365*2),((ROUNDDOWN(J365/I365,0))-1))</f>
        <v>0</v>
      </c>
    </row>
    <row r="366" customFormat="false" ht="12.75" hidden="false" customHeight="false" outlineLevel="0" collapsed="false">
      <c r="A366" s="5" t="n">
        <v>480</v>
      </c>
      <c r="B366" s="6" t="s">
        <v>1519</v>
      </c>
      <c r="C366" s="6" t="s">
        <v>12</v>
      </c>
      <c r="D366" s="6" t="s">
        <v>1520</v>
      </c>
      <c r="E366" s="6" t="s">
        <v>14</v>
      </c>
      <c r="F366" s="6" t="n">
        <v>1616.25355222</v>
      </c>
      <c r="G366" s="6" t="n">
        <v>1616.254</v>
      </c>
      <c r="H366" s="6" t="s">
        <v>792</v>
      </c>
      <c r="I366" s="0" t="n">
        <v>0.4</v>
      </c>
      <c r="J366" s="0" t="n">
        <f aca="false">CONVERT(G366,"m^2","ha")</f>
        <v>0.1616254</v>
      </c>
      <c r="K366" s="0" t="b">
        <f aca="false">IF(J366&gt;(I366*2),((ROUNDDOWN(J366/I366,0))-1))</f>
        <v>0</v>
      </c>
    </row>
    <row r="367" customFormat="false" ht="12.75" hidden="false" customHeight="false" outlineLevel="0" collapsed="false">
      <c r="A367" s="5" t="n">
        <v>481</v>
      </c>
      <c r="B367" s="6" t="s">
        <v>1521</v>
      </c>
      <c r="C367" s="6" t="s">
        <v>12</v>
      </c>
      <c r="D367" s="6" t="s">
        <v>1522</v>
      </c>
      <c r="E367" s="6" t="s">
        <v>14</v>
      </c>
      <c r="F367" s="6" t="n">
        <v>760.616016025</v>
      </c>
      <c r="G367" s="6" t="n">
        <v>760.616</v>
      </c>
      <c r="H367" s="6" t="s">
        <v>792</v>
      </c>
      <c r="I367" s="0" t="n">
        <v>0.4</v>
      </c>
      <c r="J367" s="0" t="n">
        <f aca="false">CONVERT(G367,"m^2","ha")</f>
        <v>0.0760616</v>
      </c>
      <c r="K367" s="0" t="b">
        <f aca="false">IF(J367&gt;(I367*2),((ROUNDDOWN(J367/I367,0))-1))</f>
        <v>0</v>
      </c>
    </row>
    <row r="368" customFormat="false" ht="12.75" hidden="false" customHeight="false" outlineLevel="0" collapsed="false">
      <c r="A368" s="5" t="n">
        <v>482</v>
      </c>
      <c r="B368" s="6" t="s">
        <v>1523</v>
      </c>
      <c r="C368" s="6" t="s">
        <v>12</v>
      </c>
      <c r="D368" s="6" t="s">
        <v>1524</v>
      </c>
      <c r="E368" s="6" t="s">
        <v>14</v>
      </c>
      <c r="F368" s="6" t="n">
        <v>1963.54090091</v>
      </c>
      <c r="G368" s="6" t="n">
        <v>1963.541</v>
      </c>
      <c r="H368" s="6" t="s">
        <v>792</v>
      </c>
      <c r="I368" s="0" t="n">
        <v>0.4</v>
      </c>
      <c r="J368" s="0" t="n">
        <f aca="false">CONVERT(G368,"m^2","ha")</f>
        <v>0.1963541</v>
      </c>
      <c r="K368" s="0" t="b">
        <f aca="false">IF(J368&gt;(I368*2),((ROUNDDOWN(J368/I368,0))-1))</f>
        <v>0</v>
      </c>
    </row>
    <row r="369" customFormat="false" ht="12.75" hidden="false" customHeight="false" outlineLevel="0" collapsed="false">
      <c r="A369" s="5" t="n">
        <v>483</v>
      </c>
      <c r="B369" s="6" t="s">
        <v>1525</v>
      </c>
      <c r="C369" s="6" t="s">
        <v>12</v>
      </c>
      <c r="D369" s="6" t="s">
        <v>1526</v>
      </c>
      <c r="E369" s="6" t="s">
        <v>14</v>
      </c>
      <c r="F369" s="6" t="n">
        <v>1522.58714556</v>
      </c>
      <c r="G369" s="6" t="n">
        <v>1522.587</v>
      </c>
      <c r="H369" s="6" t="s">
        <v>792</v>
      </c>
      <c r="I369" s="0" t="n">
        <v>0.4</v>
      </c>
      <c r="J369" s="0" t="n">
        <f aca="false">CONVERT(G369,"m^2","ha")</f>
        <v>0.1522587</v>
      </c>
      <c r="K369" s="0" t="b">
        <f aca="false">IF(J369&gt;(I369*2),((ROUNDDOWN(J369/I369,0))-1))</f>
        <v>0</v>
      </c>
    </row>
    <row r="370" customFormat="false" ht="12.75" hidden="false" customHeight="false" outlineLevel="0" collapsed="false">
      <c r="A370" s="5" t="n">
        <v>484</v>
      </c>
      <c r="B370" s="6" t="s">
        <v>1527</v>
      </c>
      <c r="C370" s="6" t="s">
        <v>12</v>
      </c>
      <c r="D370" s="6" t="s">
        <v>1528</v>
      </c>
      <c r="E370" s="6" t="s">
        <v>14</v>
      </c>
      <c r="F370" s="6" t="n">
        <v>2014.03220288</v>
      </c>
      <c r="G370" s="6" t="n">
        <v>2014.032</v>
      </c>
      <c r="H370" s="6" t="s">
        <v>792</v>
      </c>
      <c r="I370" s="0" t="n">
        <v>0.4</v>
      </c>
      <c r="J370" s="0" t="n">
        <f aca="false">CONVERT(G370,"m^2","ha")</f>
        <v>0.2014032</v>
      </c>
      <c r="K370" s="0" t="b">
        <f aca="false">IF(J370&gt;(I370*2),((ROUNDDOWN(J370/I370,0))-1))</f>
        <v>0</v>
      </c>
    </row>
    <row r="371" customFormat="false" ht="12.75" hidden="false" customHeight="false" outlineLevel="0" collapsed="false">
      <c r="A371" s="5" t="n">
        <v>489</v>
      </c>
      <c r="B371" s="6" t="s">
        <v>1529</v>
      </c>
      <c r="C371" s="6" t="s">
        <v>12</v>
      </c>
      <c r="D371" s="6" t="s">
        <v>1530</v>
      </c>
      <c r="E371" s="6" t="s">
        <v>14</v>
      </c>
      <c r="F371" s="6" t="n">
        <v>8653.47994662</v>
      </c>
      <c r="G371" s="6" t="n">
        <v>8653.48</v>
      </c>
      <c r="H371" s="6" t="s">
        <v>792</v>
      </c>
      <c r="I371" s="0" t="n">
        <v>0.4</v>
      </c>
      <c r="J371" s="0" t="n">
        <f aca="false">CONVERT(G371,"m^2","ha")</f>
        <v>0.865348</v>
      </c>
      <c r="K371" s="0" t="n">
        <f aca="false">IF(J371&gt;(I371*2),((ROUNDDOWN(J371/I371,0))-1))</f>
        <v>1</v>
      </c>
    </row>
    <row r="372" customFormat="false" ht="12.75" hidden="false" customHeight="false" outlineLevel="0" collapsed="false">
      <c r="A372" s="5" t="n">
        <v>490</v>
      </c>
      <c r="B372" s="6" t="s">
        <v>1531</v>
      </c>
      <c r="C372" s="6" t="s">
        <v>12</v>
      </c>
      <c r="D372" s="6" t="s">
        <v>1532</v>
      </c>
      <c r="E372" s="6" t="s">
        <v>14</v>
      </c>
      <c r="F372" s="6" t="n">
        <v>2076.75217979</v>
      </c>
      <c r="G372" s="6" t="n">
        <v>2076.752</v>
      </c>
      <c r="H372" s="6" t="s">
        <v>792</v>
      </c>
      <c r="I372" s="0" t="n">
        <v>0.4</v>
      </c>
      <c r="J372" s="0" t="n">
        <f aca="false">CONVERT(G372,"m^2","ha")</f>
        <v>0.2076752</v>
      </c>
      <c r="K372" s="0" t="b">
        <f aca="false">IF(J372&gt;(I372*2),((ROUNDDOWN(J372/I372,0))-1))</f>
        <v>0</v>
      </c>
    </row>
    <row r="373" customFormat="false" ht="12.75" hidden="false" customHeight="false" outlineLevel="0" collapsed="false">
      <c r="A373" s="5" t="n">
        <v>491</v>
      </c>
      <c r="B373" s="6" t="s">
        <v>1533</v>
      </c>
      <c r="C373" s="6" t="s">
        <v>12</v>
      </c>
      <c r="D373" s="6" t="s">
        <v>1534</v>
      </c>
      <c r="E373" s="6" t="s">
        <v>14</v>
      </c>
      <c r="F373" s="6" t="n">
        <v>734.07849106</v>
      </c>
      <c r="G373" s="6" t="n">
        <v>734.078</v>
      </c>
      <c r="H373" s="6" t="s">
        <v>792</v>
      </c>
      <c r="I373" s="0" t="n">
        <v>0.4</v>
      </c>
      <c r="J373" s="0" t="n">
        <f aca="false">CONVERT(G373,"m^2","ha")</f>
        <v>0.0734078</v>
      </c>
      <c r="K373" s="0" t="b">
        <f aca="false">IF(J373&gt;(I373*2),((ROUNDDOWN(J373/I373,0))-1))</f>
        <v>0</v>
      </c>
    </row>
    <row r="374" customFormat="false" ht="12.75" hidden="false" customHeight="false" outlineLevel="0" collapsed="false">
      <c r="A374" s="5" t="n">
        <v>492</v>
      </c>
      <c r="B374" s="6" t="s">
        <v>1535</v>
      </c>
      <c r="C374" s="6" t="s">
        <v>12</v>
      </c>
      <c r="D374" s="6" t="s">
        <v>1536</v>
      </c>
      <c r="E374" s="6" t="s">
        <v>14</v>
      </c>
      <c r="F374" s="6" t="n">
        <v>743.54314077</v>
      </c>
      <c r="G374" s="6" t="n">
        <v>743.543</v>
      </c>
      <c r="H374" s="6" t="s">
        <v>792</v>
      </c>
      <c r="I374" s="0" t="n">
        <v>0.4</v>
      </c>
      <c r="J374" s="0" t="n">
        <f aca="false">CONVERT(G374,"m^2","ha")</f>
        <v>0.0743543</v>
      </c>
      <c r="K374" s="0" t="b">
        <f aca="false">IF(J374&gt;(I374*2),((ROUNDDOWN(J374/I374,0))-1))</f>
        <v>0</v>
      </c>
    </row>
    <row r="375" customFormat="false" ht="12.75" hidden="false" customHeight="false" outlineLevel="0" collapsed="false">
      <c r="A375" s="5" t="n">
        <v>494</v>
      </c>
      <c r="B375" s="6" t="s">
        <v>1537</v>
      </c>
      <c r="C375" s="6" t="s">
        <v>12</v>
      </c>
      <c r="D375" s="6" t="s">
        <v>1538</v>
      </c>
      <c r="E375" s="6" t="s">
        <v>14</v>
      </c>
      <c r="F375" s="6" t="n">
        <v>764.79214988</v>
      </c>
      <c r="G375" s="6" t="n">
        <v>764.792</v>
      </c>
      <c r="H375" s="6" t="s">
        <v>792</v>
      </c>
      <c r="I375" s="0" t="n">
        <v>0.4</v>
      </c>
      <c r="J375" s="0" t="n">
        <f aca="false">CONVERT(G375,"m^2","ha")</f>
        <v>0.0764792</v>
      </c>
      <c r="K375" s="0" t="b">
        <f aca="false">IF(J375&gt;(I375*2),((ROUNDDOWN(J375/I375,0))-1))</f>
        <v>0</v>
      </c>
    </row>
    <row r="376" customFormat="false" ht="12.75" hidden="false" customHeight="false" outlineLevel="0" collapsed="false">
      <c r="A376" s="5" t="n">
        <v>495</v>
      </c>
      <c r="B376" s="6" t="s">
        <v>1539</v>
      </c>
      <c r="C376" s="6" t="s">
        <v>89</v>
      </c>
      <c r="D376" s="6" t="s">
        <v>1540</v>
      </c>
      <c r="E376" s="6" t="s">
        <v>14</v>
      </c>
      <c r="F376" s="6" t="n">
        <v>1799.60506651</v>
      </c>
      <c r="G376" s="6" t="n">
        <v>1799.605</v>
      </c>
      <c r="H376" s="6" t="s">
        <v>792</v>
      </c>
      <c r="I376" s="0" t="n">
        <v>0.4</v>
      </c>
      <c r="J376" s="0" t="n">
        <f aca="false">CONVERT(G376,"m^2","ha")</f>
        <v>0.1799605</v>
      </c>
      <c r="K376" s="0" t="b">
        <f aca="false">IF(J376&gt;(I376*2),((ROUNDDOWN(J376/I376,0))-1))</f>
        <v>0</v>
      </c>
    </row>
    <row r="377" customFormat="false" ht="12.75" hidden="false" customHeight="false" outlineLevel="0" collapsed="false">
      <c r="A377" s="5" t="n">
        <v>496</v>
      </c>
      <c r="B377" s="6" t="s">
        <v>1541</v>
      </c>
      <c r="C377" s="6" t="s">
        <v>12</v>
      </c>
      <c r="D377" s="6" t="s">
        <v>1542</v>
      </c>
      <c r="E377" s="6" t="s">
        <v>14</v>
      </c>
      <c r="F377" s="6" t="n">
        <v>1992.14653528</v>
      </c>
      <c r="G377" s="6" t="n">
        <v>1991.872</v>
      </c>
      <c r="H377" s="6" t="s">
        <v>792</v>
      </c>
      <c r="I377" s="0" t="n">
        <v>0.4</v>
      </c>
      <c r="J377" s="0" t="n">
        <f aca="false">CONVERT(G377,"m^2","ha")</f>
        <v>0.1991872</v>
      </c>
      <c r="K377" s="0" t="b">
        <f aca="false">IF(J377&gt;(I377*2),((ROUNDDOWN(J377/I377,0))-1))</f>
        <v>0</v>
      </c>
    </row>
    <row r="378" customFormat="false" ht="12.75" hidden="false" customHeight="false" outlineLevel="0" collapsed="false">
      <c r="A378" s="5" t="n">
        <v>497</v>
      </c>
      <c r="B378" s="6" t="s">
        <v>1543</v>
      </c>
      <c r="C378" s="6" t="s">
        <v>12</v>
      </c>
      <c r="D378" s="6" t="s">
        <v>1544</v>
      </c>
      <c r="E378" s="6" t="s">
        <v>14</v>
      </c>
      <c r="F378" s="6" t="n">
        <v>809.69261228</v>
      </c>
      <c r="G378" s="6" t="n">
        <v>809.693</v>
      </c>
      <c r="H378" s="6" t="s">
        <v>792</v>
      </c>
      <c r="I378" s="0" t="n">
        <v>0.4</v>
      </c>
      <c r="J378" s="0" t="n">
        <f aca="false">CONVERT(G378,"m^2","ha")</f>
        <v>0.0809693</v>
      </c>
      <c r="K378" s="0" t="b">
        <f aca="false">IF(J378&gt;(I378*2),((ROUNDDOWN(J378/I378,0))-1))</f>
        <v>0</v>
      </c>
    </row>
    <row r="379" customFormat="false" ht="12.75" hidden="false" customHeight="false" outlineLevel="0" collapsed="false">
      <c r="A379" s="5" t="n">
        <v>498</v>
      </c>
      <c r="B379" s="6" t="s">
        <v>1545</v>
      </c>
      <c r="C379" s="6" t="s">
        <v>12</v>
      </c>
      <c r="D379" s="6" t="s">
        <v>1546</v>
      </c>
      <c r="E379" s="6" t="s">
        <v>14</v>
      </c>
      <c r="F379" s="6" t="n">
        <v>12144.73367146</v>
      </c>
      <c r="G379" s="6" t="n">
        <v>12144.734</v>
      </c>
      <c r="H379" s="6" t="s">
        <v>792</v>
      </c>
      <c r="I379" s="0" t="n">
        <v>0.4</v>
      </c>
      <c r="J379" s="0" t="n">
        <f aca="false">CONVERT(G379,"m^2","ha")</f>
        <v>1.2144734</v>
      </c>
      <c r="K379" s="0" t="n">
        <f aca="false">IF(J379&gt;(I379*2),((ROUNDDOWN(J379/I379,0))-1))</f>
        <v>2</v>
      </c>
    </row>
    <row r="380" customFormat="false" ht="12.75" hidden="false" customHeight="false" outlineLevel="0" collapsed="false">
      <c r="A380" s="5" t="n">
        <v>499</v>
      </c>
      <c r="B380" s="6" t="s">
        <v>1547</v>
      </c>
      <c r="C380" s="6" t="s">
        <v>12</v>
      </c>
      <c r="D380" s="6" t="s">
        <v>1548</v>
      </c>
      <c r="E380" s="6" t="s">
        <v>14</v>
      </c>
      <c r="F380" s="6" t="n">
        <v>1198.08203975</v>
      </c>
      <c r="G380" s="6" t="n">
        <v>1198.082</v>
      </c>
      <c r="H380" s="6" t="s">
        <v>792</v>
      </c>
      <c r="I380" s="0" t="n">
        <v>0.4</v>
      </c>
      <c r="J380" s="0" t="n">
        <f aca="false">CONVERT(G380,"m^2","ha")</f>
        <v>0.1198082</v>
      </c>
      <c r="K380" s="0" t="b">
        <f aca="false">IF(J380&gt;(I380*2),((ROUNDDOWN(J380/I380,0))-1))</f>
        <v>0</v>
      </c>
    </row>
    <row r="381" customFormat="false" ht="12.75" hidden="false" customHeight="false" outlineLevel="0" collapsed="false">
      <c r="A381" s="5" t="n">
        <v>500</v>
      </c>
      <c r="B381" s="6" t="s">
        <v>1549</v>
      </c>
      <c r="C381" s="6" t="s">
        <v>12</v>
      </c>
      <c r="D381" s="6" t="s">
        <v>1550</v>
      </c>
      <c r="E381" s="6" t="s">
        <v>14</v>
      </c>
      <c r="F381" s="6" t="n">
        <v>4154.398013315</v>
      </c>
      <c r="G381" s="6" t="n">
        <v>4153.9</v>
      </c>
      <c r="H381" s="6" t="s">
        <v>792</v>
      </c>
      <c r="I381" s="0" t="n">
        <v>0.4</v>
      </c>
      <c r="J381" s="0" t="n">
        <f aca="false">CONVERT(G381,"m^2","ha")</f>
        <v>0.41539</v>
      </c>
      <c r="K381" s="0" t="b">
        <f aca="false">IF(J381&gt;(I381*2),((ROUNDDOWN(J381/I381,0))-1))</f>
        <v>0</v>
      </c>
    </row>
    <row r="382" customFormat="false" ht="12.75" hidden="false" customHeight="false" outlineLevel="0" collapsed="false">
      <c r="A382" s="5" t="n">
        <v>501</v>
      </c>
      <c r="B382" s="6" t="s">
        <v>1551</v>
      </c>
      <c r="C382" s="6" t="s">
        <v>12</v>
      </c>
      <c r="D382" s="6" t="s">
        <v>1552</v>
      </c>
      <c r="E382" s="6" t="s">
        <v>14</v>
      </c>
      <c r="F382" s="6" t="n">
        <v>2162.575463315</v>
      </c>
      <c r="G382" s="6" t="n">
        <v>2162.575</v>
      </c>
      <c r="H382" s="6" t="s">
        <v>792</v>
      </c>
      <c r="I382" s="0" t="n">
        <v>0.4</v>
      </c>
      <c r="J382" s="0" t="n">
        <f aca="false">CONVERT(G382,"m^2","ha")</f>
        <v>0.2162575</v>
      </c>
      <c r="K382" s="0" t="b">
        <f aca="false">IF(J382&gt;(I382*2),((ROUNDDOWN(J382/I382,0))-1))</f>
        <v>0</v>
      </c>
    </row>
    <row r="383" customFormat="false" ht="12.75" hidden="false" customHeight="false" outlineLevel="0" collapsed="false">
      <c r="A383" s="5" t="n">
        <v>503</v>
      </c>
      <c r="B383" s="6" t="s">
        <v>1553</v>
      </c>
      <c r="C383" s="6" t="s">
        <v>12</v>
      </c>
      <c r="D383" s="6" t="s">
        <v>1554</v>
      </c>
      <c r="E383" s="6" t="s">
        <v>14</v>
      </c>
      <c r="F383" s="6" t="n">
        <v>8394.92831084</v>
      </c>
      <c r="G383" s="6" t="n">
        <v>8394.928</v>
      </c>
      <c r="H383" s="6" t="s">
        <v>792</v>
      </c>
      <c r="I383" s="0" t="n">
        <v>0.4</v>
      </c>
      <c r="J383" s="0" t="n">
        <f aca="false">CONVERT(G383,"m^2","ha")</f>
        <v>0.8394928</v>
      </c>
      <c r="K383" s="0" t="n">
        <f aca="false">IF(J383&gt;(I383*2),((ROUNDDOWN(J383/I383,0))-1))</f>
        <v>1</v>
      </c>
    </row>
    <row r="384" customFormat="false" ht="12.75" hidden="false" customHeight="false" outlineLevel="0" collapsed="false">
      <c r="A384" s="5" t="n">
        <v>505</v>
      </c>
      <c r="B384" s="6" t="s">
        <v>1555</v>
      </c>
      <c r="C384" s="6" t="s">
        <v>12</v>
      </c>
      <c r="D384" s="6" t="s">
        <v>1556</v>
      </c>
      <c r="E384" s="6" t="s">
        <v>14</v>
      </c>
      <c r="F384" s="6" t="n">
        <v>954.802901705</v>
      </c>
      <c r="G384" s="6" t="n">
        <v>954.803</v>
      </c>
      <c r="H384" s="6" t="s">
        <v>792</v>
      </c>
      <c r="I384" s="0" t="n">
        <v>0.4</v>
      </c>
      <c r="J384" s="0" t="n">
        <f aca="false">CONVERT(G384,"m^2","ha")</f>
        <v>0.0954803</v>
      </c>
      <c r="K384" s="0" t="b">
        <f aca="false">IF(J384&gt;(I384*2),((ROUNDDOWN(J384/I384,0))-1))</f>
        <v>0</v>
      </c>
    </row>
    <row r="385" customFormat="false" ht="12.75" hidden="false" customHeight="false" outlineLevel="0" collapsed="false">
      <c r="A385" s="5" t="n">
        <v>506</v>
      </c>
      <c r="B385" s="6" t="s">
        <v>1557</v>
      </c>
      <c r="C385" s="6" t="s">
        <v>12</v>
      </c>
      <c r="D385" s="6" t="s">
        <v>1558</v>
      </c>
      <c r="E385" s="6" t="s">
        <v>14</v>
      </c>
      <c r="F385" s="6" t="n">
        <v>3196.909953995</v>
      </c>
      <c r="G385" s="6" t="n">
        <v>3196.792</v>
      </c>
      <c r="H385" s="6" t="s">
        <v>792</v>
      </c>
      <c r="I385" s="0" t="n">
        <v>0.4</v>
      </c>
      <c r="J385" s="0" t="n">
        <f aca="false">CONVERT(G385,"m^2","ha")</f>
        <v>0.3196792</v>
      </c>
      <c r="K385" s="0" t="b">
        <f aca="false">IF(J385&gt;(I385*2),((ROUNDDOWN(J385/I385,0))-1))</f>
        <v>0</v>
      </c>
    </row>
    <row r="386" customFormat="false" ht="12.75" hidden="false" customHeight="false" outlineLevel="0" collapsed="false">
      <c r="A386" s="5" t="n">
        <v>508</v>
      </c>
      <c r="B386" s="6" t="s">
        <v>1559</v>
      </c>
      <c r="C386" s="6" t="s">
        <v>12</v>
      </c>
      <c r="D386" s="6" t="s">
        <v>1560</v>
      </c>
      <c r="E386" s="6" t="s">
        <v>14</v>
      </c>
      <c r="F386" s="6" t="n">
        <v>2020.62093719</v>
      </c>
      <c r="G386" s="6" t="n">
        <v>2020.621</v>
      </c>
      <c r="H386" s="6" t="s">
        <v>792</v>
      </c>
      <c r="I386" s="0" t="n">
        <v>0.4</v>
      </c>
      <c r="J386" s="0" t="n">
        <f aca="false">CONVERT(G386,"m^2","ha")</f>
        <v>0.2020621</v>
      </c>
      <c r="K386" s="0" t="b">
        <f aca="false">IF(J386&gt;(I386*2),((ROUNDDOWN(J386/I386,0))-1))</f>
        <v>0</v>
      </c>
    </row>
    <row r="387" customFormat="false" ht="12.75" hidden="false" customHeight="false" outlineLevel="0" collapsed="false">
      <c r="A387" s="5" t="n">
        <v>510</v>
      </c>
      <c r="B387" s="6" t="s">
        <v>1561</v>
      </c>
      <c r="C387" s="6" t="s">
        <v>12</v>
      </c>
      <c r="D387" s="6" t="s">
        <v>1562</v>
      </c>
      <c r="E387" s="6" t="s">
        <v>14</v>
      </c>
      <c r="F387" s="6" t="n">
        <v>2148.074810875</v>
      </c>
      <c r="G387" s="6" t="n">
        <v>2148.075</v>
      </c>
      <c r="H387" s="6" t="s">
        <v>792</v>
      </c>
      <c r="I387" s="0" t="n">
        <v>0.4</v>
      </c>
      <c r="J387" s="0" t="n">
        <f aca="false">CONVERT(G387,"m^2","ha")</f>
        <v>0.2148075</v>
      </c>
      <c r="K387" s="0" t="b">
        <f aca="false">IF(J387&gt;(I387*2),((ROUNDDOWN(J387/I387,0))-1))</f>
        <v>0</v>
      </c>
    </row>
    <row r="388" customFormat="false" ht="12.75" hidden="false" customHeight="false" outlineLevel="0" collapsed="false">
      <c r="A388" s="5" t="n">
        <v>511</v>
      </c>
      <c r="B388" s="6" t="s">
        <v>1563</v>
      </c>
      <c r="C388" s="6" t="s">
        <v>12</v>
      </c>
      <c r="D388" s="6" t="s">
        <v>1564</v>
      </c>
      <c r="E388" s="6" t="s">
        <v>14</v>
      </c>
      <c r="F388" s="6" t="n">
        <v>4494.637258265</v>
      </c>
      <c r="G388" s="6" t="n">
        <v>4494.637</v>
      </c>
      <c r="H388" s="6" t="s">
        <v>792</v>
      </c>
      <c r="I388" s="0" t="n">
        <v>0.4</v>
      </c>
      <c r="J388" s="0" t="n">
        <f aca="false">CONVERT(G388,"m^2","ha")</f>
        <v>0.4494637</v>
      </c>
      <c r="K388" s="0" t="b">
        <f aca="false">IF(J388&gt;(I388*2),((ROUNDDOWN(J388/I388,0))-1))</f>
        <v>0</v>
      </c>
    </row>
    <row r="389" customFormat="false" ht="12.75" hidden="false" customHeight="false" outlineLevel="0" collapsed="false">
      <c r="A389" s="5" t="n">
        <v>514</v>
      </c>
      <c r="B389" s="6" t="s">
        <v>1565</v>
      </c>
      <c r="C389" s="6" t="s">
        <v>12</v>
      </c>
      <c r="D389" s="6" t="s">
        <v>1566</v>
      </c>
      <c r="E389" s="6" t="s">
        <v>14</v>
      </c>
      <c r="F389" s="6" t="n">
        <v>3037.166067485</v>
      </c>
      <c r="G389" s="6" t="n">
        <v>3037.166</v>
      </c>
      <c r="H389" s="6" t="s">
        <v>792</v>
      </c>
      <c r="I389" s="0" t="n">
        <v>0.4</v>
      </c>
      <c r="J389" s="0" t="n">
        <f aca="false">CONVERT(G389,"m^2","ha")</f>
        <v>0.3037166</v>
      </c>
      <c r="K389" s="0" t="b">
        <f aca="false">IF(J389&gt;(I389*2),((ROUNDDOWN(J389/I389,0))-1))</f>
        <v>0</v>
      </c>
    </row>
    <row r="390" customFormat="false" ht="12.75" hidden="false" customHeight="false" outlineLevel="0" collapsed="false">
      <c r="A390" s="5" t="n">
        <v>516</v>
      </c>
      <c r="B390" s="6" t="s">
        <v>1567</v>
      </c>
      <c r="C390" s="6" t="s">
        <v>12</v>
      </c>
      <c r="D390" s="6" t="s">
        <v>1568</v>
      </c>
      <c r="E390" s="6" t="s">
        <v>14</v>
      </c>
      <c r="F390" s="6" t="n">
        <v>1044.006472815</v>
      </c>
      <c r="G390" s="6" t="n">
        <v>1044.006</v>
      </c>
      <c r="H390" s="6" t="s">
        <v>792</v>
      </c>
      <c r="I390" s="0" t="n">
        <v>0.4</v>
      </c>
      <c r="J390" s="0" t="n">
        <f aca="false">CONVERT(G390,"m^2","ha")</f>
        <v>0.1044006</v>
      </c>
      <c r="K390" s="0" t="b">
        <f aca="false">IF(J390&gt;(I390*2),((ROUNDDOWN(J390/I390,0))-1))</f>
        <v>0</v>
      </c>
    </row>
    <row r="391" customFormat="false" ht="12.75" hidden="false" customHeight="false" outlineLevel="0" collapsed="false">
      <c r="A391" s="5" t="n">
        <v>517</v>
      </c>
      <c r="B391" s="6" t="s">
        <v>1569</v>
      </c>
      <c r="C391" s="6" t="s">
        <v>12</v>
      </c>
      <c r="D391" s="6" t="s">
        <v>1570</v>
      </c>
      <c r="E391" s="6" t="s">
        <v>14</v>
      </c>
      <c r="F391" s="6" t="n">
        <v>945.10156697</v>
      </c>
      <c r="G391" s="6" t="n">
        <v>945.102</v>
      </c>
      <c r="H391" s="6" t="s">
        <v>792</v>
      </c>
      <c r="I391" s="0" t="n">
        <v>0.4</v>
      </c>
      <c r="J391" s="0" t="n">
        <f aca="false">CONVERT(G391,"m^2","ha")</f>
        <v>0.0945102</v>
      </c>
      <c r="K391" s="0" t="b">
        <f aca="false">IF(J391&gt;(I391*2),((ROUNDDOWN(J391/I391,0))-1))</f>
        <v>0</v>
      </c>
    </row>
    <row r="392" customFormat="false" ht="12.75" hidden="false" customHeight="false" outlineLevel="0" collapsed="false">
      <c r="A392" s="5" t="n">
        <v>521</v>
      </c>
      <c r="B392" s="6" t="s">
        <v>1571</v>
      </c>
      <c r="C392" s="6" t="s">
        <v>12</v>
      </c>
      <c r="D392" s="6" t="s">
        <v>1572</v>
      </c>
      <c r="E392" s="6" t="s">
        <v>14</v>
      </c>
      <c r="F392" s="6" t="n">
        <v>2448.863850905</v>
      </c>
      <c r="G392" s="6" t="n">
        <v>2448.864</v>
      </c>
      <c r="H392" s="6" t="s">
        <v>792</v>
      </c>
      <c r="I392" s="0" t="n">
        <v>0.4</v>
      </c>
      <c r="J392" s="0" t="n">
        <f aca="false">CONVERT(G392,"m^2","ha")</f>
        <v>0.2448864</v>
      </c>
      <c r="K392" s="0" t="b">
        <f aca="false">IF(J392&gt;(I392*2),((ROUNDDOWN(J392/I392,0))-1))</f>
        <v>0</v>
      </c>
    </row>
    <row r="393" customFormat="false" ht="12.75" hidden="false" customHeight="false" outlineLevel="0" collapsed="false">
      <c r="A393" s="5" t="n">
        <v>522</v>
      </c>
      <c r="B393" s="6" t="s">
        <v>1573</v>
      </c>
      <c r="C393" s="6" t="s">
        <v>12</v>
      </c>
      <c r="D393" s="6" t="s">
        <v>1574</v>
      </c>
      <c r="E393" s="6" t="s">
        <v>14</v>
      </c>
      <c r="F393" s="6" t="n">
        <v>1045.09671001</v>
      </c>
      <c r="G393" s="6" t="n">
        <v>1045.99</v>
      </c>
      <c r="H393" s="6" t="s">
        <v>792</v>
      </c>
      <c r="I393" s="0" t="n">
        <v>0.4</v>
      </c>
      <c r="J393" s="0" t="n">
        <f aca="false">CONVERT(G393,"m^2","ha")</f>
        <v>0.104599</v>
      </c>
      <c r="K393" s="0" t="b">
        <f aca="false">IF(J393&gt;(I393*2),((ROUNDDOWN(J393/I393,0))-1))</f>
        <v>0</v>
      </c>
    </row>
    <row r="394" customFormat="false" ht="12.75" hidden="false" customHeight="false" outlineLevel="0" collapsed="false">
      <c r="A394" s="5" t="n">
        <v>532</v>
      </c>
      <c r="B394" s="6" t="s">
        <v>1575</v>
      </c>
      <c r="C394" s="6" t="s">
        <v>12</v>
      </c>
      <c r="D394" s="6" t="s">
        <v>1576</v>
      </c>
      <c r="E394" s="6" t="s">
        <v>14</v>
      </c>
      <c r="F394" s="6" t="n">
        <v>5715.106202815</v>
      </c>
      <c r="G394" s="6" t="n">
        <v>5715.106</v>
      </c>
      <c r="H394" s="6" t="s">
        <v>792</v>
      </c>
      <c r="I394" s="0" t="n">
        <v>0.4</v>
      </c>
      <c r="J394" s="0" t="n">
        <f aca="false">CONVERT(G394,"m^2","ha")</f>
        <v>0.5715106</v>
      </c>
      <c r="K394" s="0" t="b">
        <f aca="false">IF(J394&gt;(I394*2),((ROUNDDOWN(J394/I394,0))-1))</f>
        <v>0</v>
      </c>
    </row>
    <row r="395" customFormat="false" ht="12.75" hidden="false" customHeight="false" outlineLevel="0" collapsed="false">
      <c r="A395" s="5" t="n">
        <v>533</v>
      </c>
      <c r="B395" s="6" t="s">
        <v>1577</v>
      </c>
      <c r="C395" s="6" t="s">
        <v>12</v>
      </c>
      <c r="D395" s="6" t="s">
        <v>1578</v>
      </c>
      <c r="E395" s="6" t="s">
        <v>14</v>
      </c>
      <c r="F395" s="6" t="n">
        <v>1542.135293335</v>
      </c>
      <c r="G395" s="6" t="n">
        <v>1542.135</v>
      </c>
      <c r="H395" s="6" t="s">
        <v>792</v>
      </c>
      <c r="I395" s="0" t="n">
        <v>0.4</v>
      </c>
      <c r="J395" s="0" t="n">
        <f aca="false">CONVERT(G395,"m^2","ha")</f>
        <v>0.1542135</v>
      </c>
      <c r="K395" s="0" t="b">
        <f aca="false">IF(J395&gt;(I395*2),((ROUNDDOWN(J395/I395,0))-1))</f>
        <v>0</v>
      </c>
    </row>
    <row r="396" customFormat="false" ht="12.75" hidden="false" customHeight="false" outlineLevel="0" collapsed="false">
      <c r="A396" s="5" t="n">
        <v>534</v>
      </c>
      <c r="B396" s="6" t="s">
        <v>1579</v>
      </c>
      <c r="C396" s="6" t="s">
        <v>89</v>
      </c>
      <c r="D396" s="6" t="s">
        <v>1580</v>
      </c>
      <c r="E396" s="6" t="s">
        <v>14</v>
      </c>
      <c r="F396" s="6" t="n">
        <v>1851.66640524</v>
      </c>
      <c r="G396" s="6" t="n">
        <v>1851.666</v>
      </c>
      <c r="H396" s="6" t="s">
        <v>792</v>
      </c>
      <c r="I396" s="0" t="n">
        <v>0.4</v>
      </c>
      <c r="J396" s="0" t="n">
        <f aca="false">CONVERT(G396,"m^2","ha")</f>
        <v>0.1851666</v>
      </c>
      <c r="K396" s="0" t="b">
        <f aca="false">IF(J396&gt;(I396*2),((ROUNDDOWN(J396/I396,0))-1))</f>
        <v>0</v>
      </c>
    </row>
    <row r="397" customFormat="false" ht="12.75" hidden="false" customHeight="false" outlineLevel="0" collapsed="false">
      <c r="A397" s="5" t="n">
        <v>536</v>
      </c>
      <c r="B397" s="6" t="s">
        <v>1581</v>
      </c>
      <c r="C397" s="6" t="s">
        <v>12</v>
      </c>
      <c r="D397" s="6" t="s">
        <v>1582</v>
      </c>
      <c r="E397" s="6" t="s">
        <v>14</v>
      </c>
      <c r="F397" s="6" t="n">
        <v>1190.6722482</v>
      </c>
      <c r="G397" s="6" t="n">
        <v>1190.672</v>
      </c>
      <c r="H397" s="6" t="s">
        <v>792</v>
      </c>
      <c r="I397" s="0" t="n">
        <v>0.4</v>
      </c>
      <c r="J397" s="0" t="n">
        <f aca="false">CONVERT(G397,"m^2","ha")</f>
        <v>0.1190672</v>
      </c>
      <c r="K397" s="0" t="b">
        <f aca="false">IF(J397&gt;(I397*2),((ROUNDDOWN(J397/I397,0))-1))</f>
        <v>0</v>
      </c>
    </row>
    <row r="398" customFormat="false" ht="12.75" hidden="false" customHeight="false" outlineLevel="0" collapsed="false">
      <c r="A398" s="5" t="n">
        <v>537</v>
      </c>
      <c r="B398" s="6" t="s">
        <v>1583</v>
      </c>
      <c r="C398" s="6" t="s">
        <v>12</v>
      </c>
      <c r="D398" s="6" t="s">
        <v>1584</v>
      </c>
      <c r="E398" s="6" t="s">
        <v>14</v>
      </c>
      <c r="F398" s="6" t="n">
        <v>1341.785111675</v>
      </c>
      <c r="G398" s="6" t="n">
        <v>1341.785</v>
      </c>
      <c r="H398" s="6" t="s">
        <v>792</v>
      </c>
      <c r="I398" s="0" t="n">
        <v>0.4</v>
      </c>
      <c r="J398" s="0" t="n">
        <f aca="false">CONVERT(G398,"m^2","ha")</f>
        <v>0.1341785</v>
      </c>
      <c r="K398" s="0" t="b">
        <f aca="false">IF(J398&gt;(I398*2),((ROUNDDOWN(J398/I398,0))-1))</f>
        <v>0</v>
      </c>
    </row>
    <row r="399" customFormat="false" ht="12.75" hidden="false" customHeight="false" outlineLevel="0" collapsed="false">
      <c r="A399" s="5" t="n">
        <v>538</v>
      </c>
      <c r="B399" s="6" t="s">
        <v>1585</v>
      </c>
      <c r="C399" s="6" t="s">
        <v>12</v>
      </c>
      <c r="D399" s="6" t="s">
        <v>1586</v>
      </c>
      <c r="E399" s="6" t="s">
        <v>14</v>
      </c>
      <c r="F399" s="6" t="n">
        <v>3883.03707083</v>
      </c>
      <c r="G399" s="6" t="n">
        <v>3883.037</v>
      </c>
      <c r="H399" s="6" t="s">
        <v>792</v>
      </c>
      <c r="I399" s="0" t="n">
        <v>0.4</v>
      </c>
      <c r="J399" s="0" t="n">
        <f aca="false">CONVERT(G399,"m^2","ha")</f>
        <v>0.3883037</v>
      </c>
      <c r="K399" s="0" t="b">
        <f aca="false">IF(J399&gt;(I399*2),((ROUNDDOWN(J399/I399,0))-1))</f>
        <v>0</v>
      </c>
    </row>
    <row r="400" customFormat="false" ht="12.75" hidden="false" customHeight="false" outlineLevel="0" collapsed="false">
      <c r="A400" s="5" t="n">
        <v>543</v>
      </c>
      <c r="B400" s="6" t="s">
        <v>1587</v>
      </c>
      <c r="C400" s="6" t="s">
        <v>12</v>
      </c>
      <c r="D400" s="6" t="s">
        <v>1588</v>
      </c>
      <c r="E400" s="6" t="s">
        <v>14</v>
      </c>
      <c r="F400" s="6" t="n">
        <v>2208.000023</v>
      </c>
      <c r="G400" s="6" t="n">
        <v>2208</v>
      </c>
      <c r="H400" s="6" t="s">
        <v>792</v>
      </c>
      <c r="I400" s="0" t="n">
        <v>0.4</v>
      </c>
      <c r="J400" s="0" t="n">
        <f aca="false">CONVERT(G400,"m^2","ha")</f>
        <v>0.2208</v>
      </c>
      <c r="K400" s="0" t="b">
        <f aca="false">IF(J400&gt;(I400*2),((ROUNDDOWN(J400/I400,0))-1))</f>
        <v>0</v>
      </c>
    </row>
    <row r="401" customFormat="false" ht="12.75" hidden="false" customHeight="false" outlineLevel="0" collapsed="false">
      <c r="A401" s="5" t="n">
        <v>546</v>
      </c>
      <c r="B401" s="6" t="s">
        <v>1589</v>
      </c>
      <c r="C401" s="6" t="s">
        <v>12</v>
      </c>
      <c r="D401" s="6" t="s">
        <v>1590</v>
      </c>
      <c r="E401" s="6" t="s">
        <v>14</v>
      </c>
      <c r="F401" s="6" t="n">
        <v>2446.24750214</v>
      </c>
      <c r="G401" s="6" t="n">
        <v>2446.5</v>
      </c>
      <c r="H401" s="6" t="s">
        <v>792</v>
      </c>
      <c r="I401" s="0" t="n">
        <v>0.4</v>
      </c>
      <c r="J401" s="0" t="n">
        <f aca="false">CONVERT(G401,"m^2","ha")</f>
        <v>0.24465</v>
      </c>
      <c r="K401" s="0" t="b">
        <f aca="false">IF(J401&gt;(I401*2),((ROUNDDOWN(J401/I401,0))-1))</f>
        <v>0</v>
      </c>
    </row>
    <row r="402" customFormat="false" ht="12.75" hidden="false" customHeight="false" outlineLevel="0" collapsed="false">
      <c r="A402" s="5" t="n">
        <v>551</v>
      </c>
      <c r="B402" s="6" t="s">
        <v>1591</v>
      </c>
      <c r="C402" s="6" t="s">
        <v>12</v>
      </c>
      <c r="D402" s="6" t="s">
        <v>1592</v>
      </c>
      <c r="E402" s="6" t="s">
        <v>14</v>
      </c>
      <c r="F402" s="6" t="n">
        <v>4261.81049909</v>
      </c>
      <c r="G402" s="6" t="n">
        <v>4261.81</v>
      </c>
      <c r="H402" s="6" t="s">
        <v>792</v>
      </c>
      <c r="I402" s="0" t="n">
        <v>0.4</v>
      </c>
      <c r="J402" s="0" t="n">
        <f aca="false">CONVERT(G402,"m^2","ha")</f>
        <v>0.426181</v>
      </c>
      <c r="K402" s="0" t="b">
        <f aca="false">IF(J402&gt;(I402*2),((ROUNDDOWN(J402/I402,0))-1))</f>
        <v>0</v>
      </c>
    </row>
    <row r="403" customFormat="false" ht="12.75" hidden="false" customHeight="false" outlineLevel="0" collapsed="false">
      <c r="A403" s="5" t="n">
        <v>553</v>
      </c>
      <c r="B403" s="6" t="s">
        <v>1593</v>
      </c>
      <c r="C403" s="6" t="s">
        <v>12</v>
      </c>
      <c r="D403" s="6" t="s">
        <v>1594</v>
      </c>
      <c r="E403" s="6" t="s">
        <v>14</v>
      </c>
      <c r="F403" s="6" t="n">
        <v>1355.746720405</v>
      </c>
      <c r="G403" s="6" t="n">
        <v>1355.747</v>
      </c>
      <c r="H403" s="6" t="s">
        <v>792</v>
      </c>
      <c r="I403" s="0" t="n">
        <v>0.4</v>
      </c>
      <c r="J403" s="0" t="n">
        <f aca="false">CONVERT(G403,"m^2","ha")</f>
        <v>0.1355747</v>
      </c>
      <c r="K403" s="0" t="b">
        <f aca="false">IF(J403&gt;(I403*2),((ROUNDDOWN(J403/I403,0))-1))</f>
        <v>0</v>
      </c>
    </row>
    <row r="404" customFormat="false" ht="12.75" hidden="false" customHeight="false" outlineLevel="0" collapsed="false">
      <c r="A404" s="5" t="n">
        <v>554</v>
      </c>
      <c r="B404" s="6" t="s">
        <v>1595</v>
      </c>
      <c r="C404" s="6" t="s">
        <v>12</v>
      </c>
      <c r="D404" s="6" t="s">
        <v>1596</v>
      </c>
      <c r="E404" s="6" t="s">
        <v>14</v>
      </c>
      <c r="F404" s="6" t="n">
        <v>14136.0926909</v>
      </c>
      <c r="G404" s="6" t="n">
        <v>14136.093</v>
      </c>
      <c r="H404" s="6" t="s">
        <v>792</v>
      </c>
      <c r="I404" s="0" t="n">
        <v>0.4</v>
      </c>
      <c r="J404" s="0" t="n">
        <f aca="false">CONVERT(G404,"m^2","ha")</f>
        <v>1.4136093</v>
      </c>
      <c r="K404" s="0" t="n">
        <f aca="false">IF(J404&gt;(I404*2),((ROUNDDOWN(J404/I404,0))-1))</f>
        <v>2</v>
      </c>
    </row>
    <row r="405" customFormat="false" ht="12.75" hidden="false" customHeight="false" outlineLevel="0" collapsed="false">
      <c r="A405" s="5" t="n">
        <v>557</v>
      </c>
      <c r="B405" s="6" t="s">
        <v>1597</v>
      </c>
      <c r="C405" s="6" t="s">
        <v>12</v>
      </c>
      <c r="D405" s="6" t="s">
        <v>1598</v>
      </c>
      <c r="E405" s="6" t="s">
        <v>14</v>
      </c>
      <c r="F405" s="6" t="n">
        <v>16705.879678535</v>
      </c>
      <c r="G405" s="6" t="n">
        <v>16705.88</v>
      </c>
      <c r="H405" s="6" t="s">
        <v>792</v>
      </c>
      <c r="I405" s="0" t="n">
        <v>0.4</v>
      </c>
      <c r="J405" s="0" t="n">
        <f aca="false">CONVERT(G405,"m^2","ha")</f>
        <v>1.670588</v>
      </c>
      <c r="K405" s="0" t="n">
        <f aca="false">IF(J405&gt;(I405*2),((ROUNDDOWN(J405/I405,0))-1))</f>
        <v>3</v>
      </c>
    </row>
    <row r="406" customFormat="false" ht="12.75" hidden="false" customHeight="false" outlineLevel="0" collapsed="false">
      <c r="A406" s="5" t="n">
        <v>558</v>
      </c>
      <c r="B406" s="6" t="s">
        <v>1599</v>
      </c>
      <c r="C406" s="6" t="s">
        <v>12</v>
      </c>
      <c r="D406" s="6" t="s">
        <v>1600</v>
      </c>
      <c r="E406" s="6" t="s">
        <v>14</v>
      </c>
      <c r="F406" s="6" t="n">
        <v>2030.86362723</v>
      </c>
      <c r="G406" s="6" t="n">
        <v>2030.864</v>
      </c>
      <c r="H406" s="6" t="s">
        <v>792</v>
      </c>
      <c r="I406" s="0" t="n">
        <v>0.4</v>
      </c>
      <c r="J406" s="0" t="n">
        <f aca="false">CONVERT(G406,"m^2","ha")</f>
        <v>0.2030864</v>
      </c>
      <c r="K406" s="0" t="b">
        <f aca="false">IF(J406&gt;(I406*2),((ROUNDDOWN(J406/I406,0))-1))</f>
        <v>0</v>
      </c>
    </row>
    <row r="407" customFormat="false" ht="12.75" hidden="false" customHeight="false" outlineLevel="0" collapsed="false">
      <c r="A407" s="5" t="n">
        <v>559</v>
      </c>
      <c r="B407" s="6" t="s">
        <v>1601</v>
      </c>
      <c r="C407" s="6" t="s">
        <v>12</v>
      </c>
      <c r="D407" s="6" t="s">
        <v>1602</v>
      </c>
      <c r="E407" s="6" t="s">
        <v>14</v>
      </c>
      <c r="F407" s="6" t="n">
        <v>1953.11567207</v>
      </c>
      <c r="G407" s="6" t="n">
        <v>1953.116</v>
      </c>
      <c r="H407" s="6" t="s">
        <v>792</v>
      </c>
      <c r="I407" s="0" t="n">
        <v>0.4</v>
      </c>
      <c r="J407" s="0" t="n">
        <f aca="false">CONVERT(G407,"m^2","ha")</f>
        <v>0.1953116</v>
      </c>
      <c r="K407" s="0" t="b">
        <f aca="false">IF(J407&gt;(I407*2),((ROUNDDOWN(J407/I407,0))-1))</f>
        <v>0</v>
      </c>
    </row>
    <row r="408" customFormat="false" ht="12.75" hidden="false" customHeight="false" outlineLevel="0" collapsed="false">
      <c r="A408" s="5" t="n">
        <v>560</v>
      </c>
      <c r="B408" s="6" t="s">
        <v>1603</v>
      </c>
      <c r="C408" s="6" t="s">
        <v>12</v>
      </c>
      <c r="D408" s="6" t="s">
        <v>1604</v>
      </c>
      <c r="E408" s="6" t="s">
        <v>14</v>
      </c>
      <c r="F408" s="6" t="n">
        <v>2478.7825816</v>
      </c>
      <c r="G408" s="6" t="n">
        <v>2478.783</v>
      </c>
      <c r="H408" s="6" t="s">
        <v>792</v>
      </c>
      <c r="I408" s="0" t="n">
        <v>0.4</v>
      </c>
      <c r="J408" s="0" t="n">
        <f aca="false">CONVERT(G408,"m^2","ha")</f>
        <v>0.2478783</v>
      </c>
      <c r="K408" s="0" t="b">
        <f aca="false">IF(J408&gt;(I408*2),((ROUNDDOWN(J408/I408,0))-1))</f>
        <v>0</v>
      </c>
    </row>
    <row r="409" customFormat="false" ht="12.75" hidden="false" customHeight="false" outlineLevel="0" collapsed="false">
      <c r="A409" s="5" t="n">
        <v>561</v>
      </c>
      <c r="B409" s="6" t="s">
        <v>1605</v>
      </c>
      <c r="C409" s="6" t="s">
        <v>12</v>
      </c>
      <c r="D409" s="6" t="s">
        <v>1606</v>
      </c>
      <c r="E409" s="6" t="s">
        <v>14</v>
      </c>
      <c r="F409" s="6" t="n">
        <v>731.71816665</v>
      </c>
      <c r="G409" s="6" t="n">
        <v>731.718</v>
      </c>
      <c r="H409" s="6" t="s">
        <v>792</v>
      </c>
      <c r="I409" s="0" t="n">
        <v>0.4</v>
      </c>
      <c r="J409" s="0" t="n">
        <f aca="false">CONVERT(G409,"m^2","ha")</f>
        <v>0.0731718</v>
      </c>
      <c r="K409" s="0" t="b">
        <f aca="false">IF(J409&gt;(I409*2),((ROUNDDOWN(J409/I409,0))-1))</f>
        <v>0</v>
      </c>
    </row>
    <row r="410" customFormat="false" ht="12.75" hidden="false" customHeight="false" outlineLevel="0" collapsed="false">
      <c r="A410" s="5" t="n">
        <v>562</v>
      </c>
      <c r="B410" s="6" t="s">
        <v>1607</v>
      </c>
      <c r="C410" s="6" t="s">
        <v>12</v>
      </c>
      <c r="D410" s="6" t="s">
        <v>1608</v>
      </c>
      <c r="E410" s="6" t="s">
        <v>14</v>
      </c>
      <c r="F410" s="6" t="n">
        <v>2962.325432075</v>
      </c>
      <c r="G410" s="6" t="n">
        <v>2962.325</v>
      </c>
      <c r="H410" s="6" t="s">
        <v>792</v>
      </c>
      <c r="I410" s="0" t="n">
        <v>0.4</v>
      </c>
      <c r="J410" s="0" t="n">
        <f aca="false">CONVERT(G410,"m^2","ha")</f>
        <v>0.2962325</v>
      </c>
      <c r="K410" s="0" t="b">
        <f aca="false">IF(J410&gt;(I410*2),((ROUNDDOWN(J410/I410,0))-1))</f>
        <v>0</v>
      </c>
    </row>
    <row r="411" customFormat="false" ht="12.75" hidden="false" customHeight="false" outlineLevel="0" collapsed="false">
      <c r="A411" s="5" t="n">
        <v>567</v>
      </c>
      <c r="B411" s="6" t="s">
        <v>1609</v>
      </c>
      <c r="C411" s="6" t="s">
        <v>12</v>
      </c>
      <c r="D411" s="6" t="s">
        <v>1610</v>
      </c>
      <c r="E411" s="6" t="s">
        <v>14</v>
      </c>
      <c r="F411" s="6" t="n">
        <v>2547.903075395</v>
      </c>
      <c r="G411" s="6" t="n">
        <v>2547.903</v>
      </c>
      <c r="H411" s="6" t="s">
        <v>792</v>
      </c>
      <c r="I411" s="0" t="n">
        <v>0.4</v>
      </c>
      <c r="J411" s="0" t="n">
        <f aca="false">CONVERT(G411,"m^2","ha")</f>
        <v>0.2547903</v>
      </c>
      <c r="K411" s="0" t="b">
        <f aca="false">IF(J411&gt;(I411*2),((ROUNDDOWN(J411/I411,0))-1))</f>
        <v>0</v>
      </c>
    </row>
    <row r="412" customFormat="false" ht="12.75" hidden="false" customHeight="false" outlineLevel="0" collapsed="false">
      <c r="A412" s="5" t="n">
        <v>568</v>
      </c>
      <c r="B412" s="6" t="s">
        <v>1611</v>
      </c>
      <c r="C412" s="6" t="s">
        <v>12</v>
      </c>
      <c r="D412" s="6" t="s">
        <v>1612</v>
      </c>
      <c r="E412" s="6" t="s">
        <v>14</v>
      </c>
      <c r="F412" s="6" t="n">
        <v>3937.314935695</v>
      </c>
      <c r="G412" s="6" t="n">
        <v>3937.315</v>
      </c>
      <c r="H412" s="6" t="s">
        <v>792</v>
      </c>
      <c r="I412" s="0" t="n">
        <v>0.4</v>
      </c>
      <c r="J412" s="0" t="n">
        <f aca="false">CONVERT(G412,"m^2","ha")</f>
        <v>0.3937315</v>
      </c>
      <c r="K412" s="0" t="b">
        <f aca="false">IF(J412&gt;(I412*2),((ROUNDDOWN(J412/I412,0))-1))</f>
        <v>0</v>
      </c>
    </row>
    <row r="413" customFormat="false" ht="12.75" hidden="false" customHeight="false" outlineLevel="0" collapsed="false">
      <c r="A413" s="5" t="n">
        <v>570</v>
      </c>
      <c r="B413" s="6" t="s">
        <v>1613</v>
      </c>
      <c r="C413" s="6" t="s">
        <v>12</v>
      </c>
      <c r="D413" s="6" t="s">
        <v>1614</v>
      </c>
      <c r="E413" s="6" t="s">
        <v>14</v>
      </c>
      <c r="F413" s="6" t="n">
        <v>5323.19917023</v>
      </c>
      <c r="G413" s="6" t="n">
        <v>5323.313</v>
      </c>
      <c r="H413" s="6" t="s">
        <v>792</v>
      </c>
      <c r="I413" s="0" t="n">
        <v>0.4</v>
      </c>
      <c r="J413" s="0" t="n">
        <f aca="false">CONVERT(G413,"m^2","ha")</f>
        <v>0.5323313</v>
      </c>
      <c r="K413" s="0" t="b">
        <f aca="false">IF(J413&gt;(I413*2),((ROUNDDOWN(J413/I413,0))-1))</f>
        <v>0</v>
      </c>
    </row>
    <row r="414" customFormat="false" ht="12.75" hidden="false" customHeight="false" outlineLevel="0" collapsed="false">
      <c r="A414" s="5" t="n">
        <v>572</v>
      </c>
      <c r="B414" s="6" t="s">
        <v>1615</v>
      </c>
      <c r="C414" s="6" t="s">
        <v>12</v>
      </c>
      <c r="D414" s="6" t="s">
        <v>1616</v>
      </c>
      <c r="E414" s="6" t="s">
        <v>14</v>
      </c>
      <c r="F414" s="6" t="n">
        <v>4123.42950743</v>
      </c>
      <c r="G414" s="6" t="n">
        <v>4123.43</v>
      </c>
      <c r="H414" s="6" t="s">
        <v>792</v>
      </c>
      <c r="I414" s="0" t="n">
        <v>0.4</v>
      </c>
      <c r="J414" s="0" t="n">
        <f aca="false">CONVERT(G414,"m^2","ha")</f>
        <v>0.412343</v>
      </c>
      <c r="K414" s="0" t="b">
        <f aca="false">IF(J414&gt;(I414*2),((ROUNDDOWN(J414/I414,0))-1))</f>
        <v>0</v>
      </c>
    </row>
    <row r="415" customFormat="false" ht="12.75" hidden="false" customHeight="false" outlineLevel="0" collapsed="false">
      <c r="A415" s="5" t="n">
        <v>575</v>
      </c>
      <c r="B415" s="6" t="s">
        <v>1617</v>
      </c>
      <c r="C415" s="6" t="s">
        <v>12</v>
      </c>
      <c r="D415" s="6" t="s">
        <v>1618</v>
      </c>
      <c r="E415" s="6" t="s">
        <v>14</v>
      </c>
      <c r="F415" s="6" t="n">
        <v>909.880398055</v>
      </c>
      <c r="G415" s="6" t="n">
        <v>909.88</v>
      </c>
      <c r="H415" s="6" t="s">
        <v>792</v>
      </c>
      <c r="I415" s="0" t="n">
        <v>0.4</v>
      </c>
      <c r="J415" s="0" t="n">
        <f aca="false">CONVERT(G415,"m^2","ha")</f>
        <v>0.090988</v>
      </c>
      <c r="K415" s="0" t="b">
        <f aca="false">IF(J415&gt;(I415*2),((ROUNDDOWN(J415/I415,0))-1))</f>
        <v>0</v>
      </c>
    </row>
    <row r="416" customFormat="false" ht="12.75" hidden="false" customHeight="false" outlineLevel="0" collapsed="false">
      <c r="A416" s="5" t="n">
        <v>581</v>
      </c>
      <c r="B416" s="6" t="s">
        <v>1619</v>
      </c>
      <c r="C416" s="6" t="s">
        <v>12</v>
      </c>
      <c r="D416" s="6" t="s">
        <v>1620</v>
      </c>
      <c r="E416" s="6" t="s">
        <v>14</v>
      </c>
      <c r="F416" s="6" t="n">
        <v>752.13153318</v>
      </c>
      <c r="G416" s="6" t="n">
        <v>752.132</v>
      </c>
      <c r="H416" s="6" t="s">
        <v>792</v>
      </c>
      <c r="I416" s="0" t="n">
        <v>0.4</v>
      </c>
      <c r="J416" s="0" t="n">
        <f aca="false">CONVERT(G416,"m^2","ha")</f>
        <v>0.0752132</v>
      </c>
      <c r="K416" s="0" t="b">
        <f aca="false">IF(J416&gt;(I416*2),((ROUNDDOWN(J416/I416,0))-1))</f>
        <v>0</v>
      </c>
    </row>
    <row r="417" customFormat="false" ht="12.75" hidden="false" customHeight="false" outlineLevel="0" collapsed="false">
      <c r="A417" s="5" t="n">
        <v>582</v>
      </c>
      <c r="B417" s="6" t="s">
        <v>1621</v>
      </c>
      <c r="C417" s="6" t="s">
        <v>12</v>
      </c>
      <c r="D417" s="6" t="s">
        <v>1622</v>
      </c>
      <c r="E417" s="6" t="s">
        <v>14</v>
      </c>
      <c r="F417" s="6" t="n">
        <v>558.161567</v>
      </c>
      <c r="G417" s="6" t="n">
        <v>558.162</v>
      </c>
      <c r="H417" s="6" t="s">
        <v>792</v>
      </c>
      <c r="I417" s="0" t="n">
        <v>0.4</v>
      </c>
      <c r="J417" s="0" t="n">
        <f aca="false">CONVERT(G417,"m^2","ha")</f>
        <v>0.0558162</v>
      </c>
      <c r="K417" s="0" t="b">
        <f aca="false">IF(J417&gt;(I417*2),((ROUNDDOWN(J417/I417,0))-1))</f>
        <v>0</v>
      </c>
    </row>
    <row r="418" customFormat="false" ht="12.75" hidden="false" customHeight="false" outlineLevel="0" collapsed="false">
      <c r="A418" s="5" t="n">
        <v>587</v>
      </c>
      <c r="B418" s="6" t="s">
        <v>1623</v>
      </c>
      <c r="C418" s="6" t="s">
        <v>12</v>
      </c>
      <c r="D418" s="6" t="s">
        <v>1624</v>
      </c>
      <c r="E418" s="6" t="s">
        <v>14</v>
      </c>
      <c r="F418" s="6" t="n">
        <v>4533.08567069</v>
      </c>
      <c r="G418" s="6" t="n">
        <v>4533.086</v>
      </c>
      <c r="H418" s="6" t="s">
        <v>792</v>
      </c>
      <c r="I418" s="0" t="n">
        <v>0.4</v>
      </c>
      <c r="J418" s="0" t="n">
        <f aca="false">CONVERT(G418,"m^2","ha")</f>
        <v>0.4533086</v>
      </c>
      <c r="K418" s="0" t="b">
        <f aca="false">IF(J418&gt;(I418*2),((ROUNDDOWN(J418/I418,0))-1))</f>
        <v>0</v>
      </c>
    </row>
    <row r="419" customFormat="false" ht="12.75" hidden="false" customHeight="false" outlineLevel="0" collapsed="false">
      <c r="A419" s="5" t="n">
        <v>588</v>
      </c>
      <c r="B419" s="6" t="s">
        <v>1625</v>
      </c>
      <c r="C419" s="6" t="s">
        <v>12</v>
      </c>
      <c r="D419" s="6" t="s">
        <v>1626</v>
      </c>
      <c r="E419" s="6" t="s">
        <v>14</v>
      </c>
      <c r="F419" s="6" t="n">
        <v>2361.16669808</v>
      </c>
      <c r="G419" s="6" t="n">
        <v>2361.167</v>
      </c>
      <c r="H419" s="6" t="s">
        <v>792</v>
      </c>
      <c r="I419" s="0" t="n">
        <v>0.4</v>
      </c>
      <c r="J419" s="0" t="n">
        <f aca="false">CONVERT(G419,"m^2","ha")</f>
        <v>0.2361167</v>
      </c>
      <c r="K419" s="0" t="b">
        <f aca="false">IF(J419&gt;(I419*2),((ROUNDDOWN(J419/I419,0))-1))</f>
        <v>0</v>
      </c>
    </row>
    <row r="420" customFormat="false" ht="12.75" hidden="false" customHeight="false" outlineLevel="0" collapsed="false">
      <c r="A420" s="5" t="n">
        <v>589</v>
      </c>
      <c r="B420" s="6" t="s">
        <v>1627</v>
      </c>
      <c r="C420" s="6" t="s">
        <v>12</v>
      </c>
      <c r="D420" s="6" t="s">
        <v>1628</v>
      </c>
      <c r="E420" s="6" t="s">
        <v>14</v>
      </c>
      <c r="F420" s="6" t="n">
        <v>2264.327435825</v>
      </c>
      <c r="G420" s="6" t="n">
        <v>2264.327</v>
      </c>
      <c r="H420" s="6" t="s">
        <v>792</v>
      </c>
      <c r="I420" s="0" t="n">
        <v>0.4</v>
      </c>
      <c r="J420" s="0" t="n">
        <f aca="false">CONVERT(G420,"m^2","ha")</f>
        <v>0.2264327</v>
      </c>
      <c r="K420" s="0" t="b">
        <f aca="false">IF(J420&gt;(I420*2),((ROUNDDOWN(J420/I420,0))-1))</f>
        <v>0</v>
      </c>
    </row>
    <row r="421" customFormat="false" ht="12.75" hidden="false" customHeight="false" outlineLevel="0" collapsed="false">
      <c r="A421" s="5" t="n">
        <v>593</v>
      </c>
      <c r="B421" s="6" t="s">
        <v>1629</v>
      </c>
      <c r="C421" s="6" t="s">
        <v>12</v>
      </c>
      <c r="D421" s="6" t="s">
        <v>1630</v>
      </c>
      <c r="E421" s="6" t="s">
        <v>14</v>
      </c>
      <c r="F421" s="6" t="n">
        <v>760.26378668</v>
      </c>
      <c r="G421" s="6" t="n">
        <v>760.264</v>
      </c>
      <c r="H421" s="6" t="s">
        <v>792</v>
      </c>
      <c r="I421" s="0" t="n">
        <v>0.4</v>
      </c>
      <c r="J421" s="0" t="n">
        <f aca="false">CONVERT(G421,"m^2","ha")</f>
        <v>0.0760264</v>
      </c>
      <c r="K421" s="0" t="b">
        <f aca="false">IF(J421&gt;(I421*2),((ROUNDDOWN(J421/I421,0))-1))</f>
        <v>0</v>
      </c>
    </row>
    <row r="422" customFormat="false" ht="12.75" hidden="false" customHeight="false" outlineLevel="0" collapsed="false">
      <c r="A422" s="5" t="n">
        <v>594</v>
      </c>
      <c r="B422" s="6" t="s">
        <v>1631</v>
      </c>
      <c r="C422" s="6" t="s">
        <v>12</v>
      </c>
      <c r="D422" s="6" t="s">
        <v>1632</v>
      </c>
      <c r="E422" s="6" t="s">
        <v>14</v>
      </c>
      <c r="F422" s="6" t="n">
        <v>4342.049990265</v>
      </c>
      <c r="G422" s="6" t="n">
        <v>4342.675</v>
      </c>
      <c r="H422" s="6" t="s">
        <v>792</v>
      </c>
      <c r="I422" s="0" t="n">
        <v>0.4</v>
      </c>
      <c r="J422" s="0" t="n">
        <f aca="false">CONVERT(G422,"m^2","ha")</f>
        <v>0.4342675</v>
      </c>
      <c r="K422" s="0" t="b">
        <f aca="false">IF(J422&gt;(I422*2),((ROUNDDOWN(J422/I422,0))-1))</f>
        <v>0</v>
      </c>
    </row>
    <row r="423" customFormat="false" ht="12.75" hidden="false" customHeight="false" outlineLevel="0" collapsed="false">
      <c r="A423" s="5" t="n">
        <v>596</v>
      </c>
      <c r="B423" s="6" t="s">
        <v>1633</v>
      </c>
      <c r="C423" s="6" t="s">
        <v>12</v>
      </c>
      <c r="D423" s="6" t="s">
        <v>1634</v>
      </c>
      <c r="E423" s="6" t="s">
        <v>14</v>
      </c>
      <c r="F423" s="6" t="n">
        <v>747.459574045</v>
      </c>
      <c r="G423" s="6" t="n">
        <v>747.46</v>
      </c>
      <c r="H423" s="6" t="s">
        <v>792</v>
      </c>
      <c r="I423" s="0" t="n">
        <v>0.4</v>
      </c>
      <c r="J423" s="0" t="n">
        <f aca="false">CONVERT(G423,"m^2","ha")</f>
        <v>0.074746</v>
      </c>
      <c r="K423" s="0" t="b">
        <f aca="false">IF(J423&gt;(I423*2),((ROUNDDOWN(J423/I423,0))-1))</f>
        <v>0</v>
      </c>
    </row>
    <row r="424" customFormat="false" ht="12.75" hidden="false" customHeight="false" outlineLevel="0" collapsed="false">
      <c r="A424" s="5" t="n">
        <v>597</v>
      </c>
      <c r="B424" s="6" t="s">
        <v>1635</v>
      </c>
      <c r="C424" s="6" t="s">
        <v>12</v>
      </c>
      <c r="D424" s="6" t="s">
        <v>1636</v>
      </c>
      <c r="E424" s="6" t="s">
        <v>14</v>
      </c>
      <c r="F424" s="6" t="n">
        <v>2325.56477746</v>
      </c>
      <c r="G424" s="6" t="n">
        <v>2325.565</v>
      </c>
      <c r="H424" s="6" t="s">
        <v>792</v>
      </c>
      <c r="I424" s="0" t="n">
        <v>0.4</v>
      </c>
      <c r="J424" s="0" t="n">
        <f aca="false">CONVERT(G424,"m^2","ha")</f>
        <v>0.2325565</v>
      </c>
      <c r="K424" s="0" t="b">
        <f aca="false">IF(J424&gt;(I424*2),((ROUNDDOWN(J424/I424,0))-1))</f>
        <v>0</v>
      </c>
    </row>
    <row r="425" customFormat="false" ht="12.75" hidden="false" customHeight="false" outlineLevel="0" collapsed="false">
      <c r="A425" s="5" t="n">
        <v>599</v>
      </c>
      <c r="B425" s="6" t="s">
        <v>1637</v>
      </c>
      <c r="C425" s="6" t="s">
        <v>12</v>
      </c>
      <c r="D425" s="6" t="s">
        <v>1638</v>
      </c>
      <c r="E425" s="6" t="s">
        <v>14</v>
      </c>
      <c r="F425" s="6" t="n">
        <v>1032.560552065</v>
      </c>
      <c r="G425" s="6" t="n">
        <v>1032.561</v>
      </c>
      <c r="H425" s="6" t="s">
        <v>792</v>
      </c>
      <c r="I425" s="0" t="n">
        <v>0.4</v>
      </c>
      <c r="J425" s="0" t="n">
        <f aca="false">CONVERT(G425,"m^2","ha")</f>
        <v>0.1032561</v>
      </c>
      <c r="K425" s="0" t="b">
        <f aca="false">IF(J425&gt;(I425*2),((ROUNDDOWN(J425/I425,0))-1))</f>
        <v>0</v>
      </c>
    </row>
    <row r="426" customFormat="false" ht="12.75" hidden="false" customHeight="false" outlineLevel="0" collapsed="false">
      <c r="A426" s="5" t="n">
        <v>601</v>
      </c>
      <c r="B426" s="6" t="s">
        <v>1639</v>
      </c>
      <c r="C426" s="6" t="s">
        <v>12</v>
      </c>
      <c r="D426" s="6" t="s">
        <v>1640</v>
      </c>
      <c r="E426" s="6" t="s">
        <v>14</v>
      </c>
      <c r="F426" s="6" t="n">
        <v>4420.85556813</v>
      </c>
      <c r="G426" s="6" t="n">
        <v>4421.248</v>
      </c>
      <c r="H426" s="6" t="s">
        <v>792</v>
      </c>
      <c r="I426" s="0" t="n">
        <v>0.4</v>
      </c>
      <c r="J426" s="0" t="n">
        <f aca="false">CONVERT(G426,"m^2","ha")</f>
        <v>0.4421248</v>
      </c>
      <c r="K426" s="0" t="b">
        <f aca="false">IF(J426&gt;(I426*2),((ROUNDDOWN(J426/I426,0))-1))</f>
        <v>0</v>
      </c>
    </row>
    <row r="427" customFormat="false" ht="12.75" hidden="false" customHeight="false" outlineLevel="0" collapsed="false">
      <c r="A427" s="5" t="n">
        <v>602</v>
      </c>
      <c r="B427" s="6" t="s">
        <v>1641</v>
      </c>
      <c r="C427" s="6" t="s">
        <v>12</v>
      </c>
      <c r="D427" s="6" t="s">
        <v>1642</v>
      </c>
      <c r="E427" s="6" t="s">
        <v>14</v>
      </c>
      <c r="F427" s="6" t="n">
        <v>2060.61735189</v>
      </c>
      <c r="G427" s="6" t="n">
        <v>2060.617</v>
      </c>
      <c r="H427" s="6" t="s">
        <v>792</v>
      </c>
      <c r="I427" s="0" t="n">
        <v>0.4</v>
      </c>
      <c r="J427" s="0" t="n">
        <f aca="false">CONVERT(G427,"m^2","ha")</f>
        <v>0.2060617</v>
      </c>
      <c r="K427" s="0" t="b">
        <f aca="false">IF(J427&gt;(I427*2),((ROUNDDOWN(J427/I427,0))-1))</f>
        <v>0</v>
      </c>
    </row>
    <row r="428" customFormat="false" ht="12.75" hidden="false" customHeight="false" outlineLevel="0" collapsed="false">
      <c r="A428" s="5" t="n">
        <v>603</v>
      </c>
      <c r="B428" s="6" t="s">
        <v>1643</v>
      </c>
      <c r="C428" s="6" t="s">
        <v>89</v>
      </c>
      <c r="D428" s="6" t="s">
        <v>1644</v>
      </c>
      <c r="E428" s="6" t="s">
        <v>14</v>
      </c>
      <c r="F428" s="6" t="n">
        <v>4417.701797125</v>
      </c>
      <c r="G428" s="6" t="n">
        <v>4417.702</v>
      </c>
      <c r="H428" s="6" t="s">
        <v>792</v>
      </c>
      <c r="I428" s="0" t="n">
        <v>0.4</v>
      </c>
      <c r="J428" s="0" t="n">
        <f aca="false">CONVERT(G428,"m^2","ha")</f>
        <v>0.4417702</v>
      </c>
      <c r="K428" s="0" t="b">
        <f aca="false">IF(J428&gt;(I428*2),((ROUNDDOWN(J428/I428,0))-1))</f>
        <v>0</v>
      </c>
    </row>
    <row r="429" customFormat="false" ht="12.75" hidden="false" customHeight="false" outlineLevel="0" collapsed="false">
      <c r="A429" s="5" t="n">
        <v>605</v>
      </c>
      <c r="B429" s="6" t="s">
        <v>1645</v>
      </c>
      <c r="C429" s="6" t="s">
        <v>12</v>
      </c>
      <c r="D429" s="6" t="s">
        <v>1646</v>
      </c>
      <c r="E429" s="6" t="s">
        <v>14</v>
      </c>
      <c r="F429" s="6" t="n">
        <v>2088.22213068</v>
      </c>
      <c r="G429" s="6" t="n">
        <v>2088.222</v>
      </c>
      <c r="H429" s="6" t="s">
        <v>792</v>
      </c>
      <c r="I429" s="0" t="n">
        <v>0.4</v>
      </c>
      <c r="J429" s="0" t="n">
        <f aca="false">CONVERT(G429,"m^2","ha")</f>
        <v>0.2088222</v>
      </c>
      <c r="K429" s="0" t="b">
        <f aca="false">IF(J429&gt;(I429*2),((ROUNDDOWN(J429/I429,0))-1))</f>
        <v>0</v>
      </c>
    </row>
    <row r="430" customFormat="false" ht="12.75" hidden="false" customHeight="false" outlineLevel="0" collapsed="false">
      <c r="A430" s="5" t="n">
        <v>607</v>
      </c>
      <c r="B430" s="6" t="s">
        <v>1647</v>
      </c>
      <c r="C430" s="6" t="s">
        <v>12</v>
      </c>
      <c r="D430" s="6" t="s">
        <v>1648</v>
      </c>
      <c r="E430" s="6" t="s">
        <v>14</v>
      </c>
      <c r="F430" s="6" t="n">
        <v>30130.2150719</v>
      </c>
      <c r="G430" s="6" t="n">
        <v>30130.215</v>
      </c>
      <c r="H430" s="6" t="s">
        <v>792</v>
      </c>
      <c r="I430" s="0" t="n">
        <v>0.4</v>
      </c>
      <c r="J430" s="0" t="n">
        <f aca="false">CONVERT(G430,"m^2","ha")</f>
        <v>3.0130215</v>
      </c>
      <c r="K430" s="0" t="n">
        <f aca="false">IF(J430&gt;(I430*2),((ROUNDDOWN(J430/I430,0))-1))</f>
        <v>6</v>
      </c>
    </row>
    <row r="431" customFormat="false" ht="12.75" hidden="false" customHeight="false" outlineLevel="0" collapsed="false">
      <c r="A431" s="5" t="n">
        <v>609</v>
      </c>
      <c r="B431" s="6" t="s">
        <v>1649</v>
      </c>
      <c r="C431" s="6" t="s">
        <v>12</v>
      </c>
      <c r="D431" s="6" t="s">
        <v>1650</v>
      </c>
      <c r="E431" s="6" t="s">
        <v>14</v>
      </c>
      <c r="F431" s="6" t="n">
        <v>1522.0495252</v>
      </c>
      <c r="G431" s="6" t="n">
        <v>1522.05</v>
      </c>
      <c r="H431" s="6" t="s">
        <v>792</v>
      </c>
      <c r="I431" s="0" t="n">
        <v>0.4</v>
      </c>
      <c r="J431" s="0" t="n">
        <f aca="false">CONVERT(G431,"m^2","ha")</f>
        <v>0.152205</v>
      </c>
      <c r="K431" s="0" t="b">
        <f aca="false">IF(J431&gt;(I431*2),((ROUNDDOWN(J431/I431,0))-1))</f>
        <v>0</v>
      </c>
    </row>
    <row r="432" customFormat="false" ht="12.75" hidden="false" customHeight="false" outlineLevel="0" collapsed="false">
      <c r="A432" s="5" t="n">
        <v>611</v>
      </c>
      <c r="B432" s="6" t="s">
        <v>1651</v>
      </c>
      <c r="C432" s="6" t="s">
        <v>12</v>
      </c>
      <c r="D432" s="6" t="s">
        <v>1652</v>
      </c>
      <c r="E432" s="6" t="s">
        <v>14</v>
      </c>
      <c r="F432" s="6" t="n">
        <v>1304.3046775</v>
      </c>
      <c r="G432" s="6" t="n">
        <v>1304.305</v>
      </c>
      <c r="H432" s="6" t="s">
        <v>792</v>
      </c>
      <c r="I432" s="0" t="n">
        <v>0.4</v>
      </c>
      <c r="J432" s="0" t="n">
        <f aca="false">CONVERT(G432,"m^2","ha")</f>
        <v>0.1304305</v>
      </c>
      <c r="K432" s="0" t="b">
        <f aca="false">IF(J432&gt;(I432*2),((ROUNDDOWN(J432/I432,0))-1))</f>
        <v>0</v>
      </c>
    </row>
    <row r="433" customFormat="false" ht="12.75" hidden="false" customHeight="false" outlineLevel="0" collapsed="false">
      <c r="A433" s="5" t="n">
        <v>613</v>
      </c>
      <c r="B433" s="6" t="s">
        <v>1653</v>
      </c>
      <c r="C433" s="6" t="s">
        <v>12</v>
      </c>
      <c r="D433" s="6" t="s">
        <v>1654</v>
      </c>
      <c r="E433" s="6" t="s">
        <v>14</v>
      </c>
      <c r="F433" s="6" t="n">
        <v>747.35937102</v>
      </c>
      <c r="G433" s="6" t="n">
        <v>747.359</v>
      </c>
      <c r="H433" s="6" t="s">
        <v>792</v>
      </c>
      <c r="I433" s="0" t="n">
        <v>0.4</v>
      </c>
      <c r="J433" s="0" t="n">
        <f aca="false">CONVERT(G433,"m^2","ha")</f>
        <v>0.0747359</v>
      </c>
      <c r="K433" s="0" t="b">
        <f aca="false">IF(J433&gt;(I433*2),((ROUNDDOWN(J433/I433,0))-1))</f>
        <v>0</v>
      </c>
    </row>
    <row r="434" customFormat="false" ht="12.75" hidden="false" customHeight="false" outlineLevel="0" collapsed="false">
      <c r="A434" s="5" t="n">
        <v>614</v>
      </c>
      <c r="B434" s="6" t="s">
        <v>1655</v>
      </c>
      <c r="C434" s="6" t="s">
        <v>12</v>
      </c>
      <c r="D434" s="6" t="s">
        <v>1656</v>
      </c>
      <c r="E434" s="6" t="s">
        <v>14</v>
      </c>
      <c r="F434" s="6" t="n">
        <v>726.441837715</v>
      </c>
      <c r="G434" s="6" t="n">
        <v>726.442</v>
      </c>
      <c r="H434" s="6" t="s">
        <v>792</v>
      </c>
      <c r="I434" s="0" t="n">
        <v>0.4</v>
      </c>
      <c r="J434" s="0" t="n">
        <f aca="false">CONVERT(G434,"m^2","ha")</f>
        <v>0.0726442</v>
      </c>
      <c r="K434" s="0" t="b">
        <f aca="false">IF(J434&gt;(I434*2),((ROUNDDOWN(J434/I434,0))-1))</f>
        <v>0</v>
      </c>
    </row>
    <row r="435" customFormat="false" ht="12.75" hidden="false" customHeight="false" outlineLevel="0" collapsed="false">
      <c r="A435" s="5" t="n">
        <v>615</v>
      </c>
      <c r="B435" s="6" t="s">
        <v>1657</v>
      </c>
      <c r="C435" s="6" t="s">
        <v>12</v>
      </c>
      <c r="D435" s="6" t="s">
        <v>1658</v>
      </c>
      <c r="E435" s="6" t="s">
        <v>14</v>
      </c>
      <c r="F435" s="6" t="n">
        <v>533.497838285</v>
      </c>
      <c r="G435" s="6" t="n">
        <v>533.498</v>
      </c>
      <c r="H435" s="6" t="s">
        <v>792</v>
      </c>
      <c r="I435" s="0" t="n">
        <v>0.4</v>
      </c>
      <c r="J435" s="0" t="n">
        <f aca="false">CONVERT(G435,"m^2","ha")</f>
        <v>0.0533498</v>
      </c>
      <c r="K435" s="0" t="b">
        <f aca="false">IF(J435&gt;(I435*2),((ROUNDDOWN(J435/I435,0))-1))</f>
        <v>0</v>
      </c>
    </row>
    <row r="436" customFormat="false" ht="12.75" hidden="false" customHeight="false" outlineLevel="0" collapsed="false">
      <c r="A436" s="5" t="n">
        <v>616</v>
      </c>
      <c r="B436" s="6" t="s">
        <v>1659</v>
      </c>
      <c r="C436" s="6" t="s">
        <v>12</v>
      </c>
      <c r="D436" s="6" t="s">
        <v>1660</v>
      </c>
      <c r="E436" s="6" t="s">
        <v>14</v>
      </c>
      <c r="F436" s="6" t="n">
        <v>2238.92926108</v>
      </c>
      <c r="G436" s="6" t="n">
        <v>2238.823</v>
      </c>
      <c r="H436" s="6" t="s">
        <v>792</v>
      </c>
      <c r="I436" s="0" t="n">
        <v>0.4</v>
      </c>
      <c r="J436" s="0" t="n">
        <f aca="false">CONVERT(G436,"m^2","ha")</f>
        <v>0.2238823</v>
      </c>
      <c r="K436" s="0" t="b">
        <f aca="false">IF(J436&gt;(I436*2),((ROUNDDOWN(J436/I436,0))-1))</f>
        <v>0</v>
      </c>
    </row>
    <row r="437" customFormat="false" ht="12.75" hidden="false" customHeight="false" outlineLevel="0" collapsed="false">
      <c r="A437" s="5" t="n">
        <v>617</v>
      </c>
      <c r="B437" s="6" t="s">
        <v>1661</v>
      </c>
      <c r="C437" s="6" t="s">
        <v>12</v>
      </c>
      <c r="D437" s="6" t="s">
        <v>1662</v>
      </c>
      <c r="E437" s="6" t="s">
        <v>14</v>
      </c>
      <c r="F437" s="6" t="n">
        <v>2002.520916235</v>
      </c>
      <c r="G437" s="6" t="n">
        <v>2002.521</v>
      </c>
      <c r="H437" s="6" t="s">
        <v>792</v>
      </c>
      <c r="I437" s="0" t="n">
        <v>0.4</v>
      </c>
      <c r="J437" s="0" t="n">
        <f aca="false">CONVERT(G437,"m^2","ha")</f>
        <v>0.2002521</v>
      </c>
      <c r="K437" s="0" t="b">
        <f aca="false">IF(J437&gt;(I437*2),((ROUNDDOWN(J437/I437,0))-1))</f>
        <v>0</v>
      </c>
    </row>
    <row r="438" customFormat="false" ht="12.75" hidden="false" customHeight="false" outlineLevel="0" collapsed="false">
      <c r="A438" s="5" t="n">
        <v>618</v>
      </c>
      <c r="B438" s="6" t="s">
        <v>1663</v>
      </c>
      <c r="C438" s="6" t="s">
        <v>12</v>
      </c>
      <c r="D438" s="6" t="s">
        <v>1664</v>
      </c>
      <c r="E438" s="6" t="s">
        <v>14</v>
      </c>
      <c r="F438" s="6" t="n">
        <v>847.45195647</v>
      </c>
      <c r="G438" s="6" t="n">
        <v>847.907</v>
      </c>
      <c r="H438" s="6" t="s">
        <v>792</v>
      </c>
      <c r="I438" s="0" t="n">
        <v>0.4</v>
      </c>
      <c r="J438" s="0" t="n">
        <f aca="false">CONVERT(G438,"m^2","ha")</f>
        <v>0.0847907</v>
      </c>
      <c r="K438" s="0" t="b">
        <f aca="false">IF(J438&gt;(I438*2),((ROUNDDOWN(J438/I438,0))-1))</f>
        <v>0</v>
      </c>
    </row>
    <row r="439" customFormat="false" ht="12.75" hidden="false" customHeight="false" outlineLevel="0" collapsed="false">
      <c r="A439" s="5" t="n">
        <v>620</v>
      </c>
      <c r="B439" s="6" t="s">
        <v>1665</v>
      </c>
      <c r="C439" s="6" t="s">
        <v>12</v>
      </c>
      <c r="D439" s="6" t="s">
        <v>1666</v>
      </c>
      <c r="E439" s="6" t="s">
        <v>14</v>
      </c>
      <c r="F439" s="6" t="n">
        <v>1470.21883379</v>
      </c>
      <c r="G439" s="6" t="n">
        <v>1470.219</v>
      </c>
      <c r="H439" s="6" t="s">
        <v>792</v>
      </c>
      <c r="I439" s="0" t="n">
        <v>0.4</v>
      </c>
      <c r="J439" s="0" t="n">
        <f aca="false">CONVERT(G439,"m^2","ha")</f>
        <v>0.1470219</v>
      </c>
      <c r="K439" s="0" t="b">
        <f aca="false">IF(J439&gt;(I439*2),((ROUNDDOWN(J439/I439,0))-1))</f>
        <v>0</v>
      </c>
    </row>
    <row r="440" customFormat="false" ht="12.75" hidden="false" customHeight="false" outlineLevel="0" collapsed="false">
      <c r="A440" s="5" t="n">
        <v>622</v>
      </c>
      <c r="B440" s="6" t="s">
        <v>1667</v>
      </c>
      <c r="C440" s="6" t="s">
        <v>12</v>
      </c>
      <c r="D440" s="6" t="s">
        <v>1668</v>
      </c>
      <c r="E440" s="6" t="s">
        <v>14</v>
      </c>
      <c r="F440" s="6" t="n">
        <v>1773.682428865</v>
      </c>
      <c r="G440" s="6" t="n">
        <v>1773.682</v>
      </c>
      <c r="H440" s="6" t="s">
        <v>792</v>
      </c>
      <c r="I440" s="0" t="n">
        <v>0.4</v>
      </c>
      <c r="J440" s="0" t="n">
        <f aca="false">CONVERT(G440,"m^2","ha")</f>
        <v>0.1773682</v>
      </c>
      <c r="K440" s="0" t="b">
        <f aca="false">IF(J440&gt;(I440*2),((ROUNDDOWN(J440/I440,0))-1))</f>
        <v>0</v>
      </c>
    </row>
    <row r="441" customFormat="false" ht="12.75" hidden="false" customHeight="false" outlineLevel="0" collapsed="false">
      <c r="A441" s="5" t="n">
        <v>624</v>
      </c>
      <c r="B441" s="6" t="s">
        <v>1669</v>
      </c>
      <c r="C441" s="6" t="s">
        <v>12</v>
      </c>
      <c r="D441" s="6" t="s">
        <v>1670</v>
      </c>
      <c r="E441" s="6" t="s">
        <v>14</v>
      </c>
      <c r="F441" s="6" t="n">
        <v>1238.95875092</v>
      </c>
      <c r="G441" s="6" t="n">
        <v>1238.959</v>
      </c>
      <c r="H441" s="6" t="s">
        <v>792</v>
      </c>
      <c r="I441" s="0" t="n">
        <v>0.4</v>
      </c>
      <c r="J441" s="0" t="n">
        <f aca="false">CONVERT(G441,"m^2","ha")</f>
        <v>0.1238959</v>
      </c>
      <c r="K441" s="0" t="b">
        <f aca="false">IF(J441&gt;(I441*2),((ROUNDDOWN(J441/I441,0))-1))</f>
        <v>0</v>
      </c>
    </row>
    <row r="442" customFormat="false" ht="12.75" hidden="false" customHeight="false" outlineLevel="0" collapsed="false">
      <c r="A442" s="5" t="n">
        <v>625</v>
      </c>
      <c r="B442" s="6" t="s">
        <v>1671</v>
      </c>
      <c r="C442" s="6" t="s">
        <v>12</v>
      </c>
      <c r="D442" s="6" t="s">
        <v>1672</v>
      </c>
      <c r="E442" s="6" t="s">
        <v>14</v>
      </c>
      <c r="F442" s="6" t="n">
        <v>756.42925731</v>
      </c>
      <c r="G442" s="6" t="n">
        <v>756.429</v>
      </c>
      <c r="H442" s="6" t="s">
        <v>792</v>
      </c>
      <c r="I442" s="0" t="n">
        <v>0.4</v>
      </c>
      <c r="J442" s="0" t="n">
        <f aca="false">CONVERT(G442,"m^2","ha")</f>
        <v>0.0756429</v>
      </c>
      <c r="K442" s="0" t="b">
        <f aca="false">IF(J442&gt;(I442*2),((ROUNDDOWN(J442/I442,0))-1))</f>
        <v>0</v>
      </c>
    </row>
    <row r="443" customFormat="false" ht="12.75" hidden="false" customHeight="false" outlineLevel="0" collapsed="false">
      <c r="A443" s="5" t="n">
        <v>627</v>
      </c>
      <c r="B443" s="6" t="s">
        <v>1673</v>
      </c>
      <c r="C443" s="6" t="s">
        <v>12</v>
      </c>
      <c r="D443" s="6" t="s">
        <v>1674</v>
      </c>
      <c r="E443" s="6" t="s">
        <v>14</v>
      </c>
      <c r="F443" s="6" t="n">
        <v>831.418679935</v>
      </c>
      <c r="G443" s="6" t="n">
        <v>831.419</v>
      </c>
      <c r="H443" s="6" t="s">
        <v>792</v>
      </c>
      <c r="I443" s="0" t="n">
        <v>0.4</v>
      </c>
      <c r="J443" s="0" t="n">
        <f aca="false">CONVERT(G443,"m^2","ha")</f>
        <v>0.0831419</v>
      </c>
      <c r="K443" s="0" t="b">
        <f aca="false">IF(J443&gt;(I443*2),((ROUNDDOWN(J443/I443,0))-1))</f>
        <v>0</v>
      </c>
    </row>
    <row r="444" customFormat="false" ht="12.75" hidden="false" customHeight="false" outlineLevel="0" collapsed="false">
      <c r="A444" s="5" t="n">
        <v>629</v>
      </c>
      <c r="B444" s="6" t="s">
        <v>1675</v>
      </c>
      <c r="C444" s="6" t="s">
        <v>12</v>
      </c>
      <c r="D444" s="6" t="s">
        <v>1676</v>
      </c>
      <c r="E444" s="6" t="s">
        <v>14</v>
      </c>
      <c r="F444" s="6" t="n">
        <v>963.56621889</v>
      </c>
      <c r="G444" s="6" t="n">
        <v>963.566</v>
      </c>
      <c r="H444" s="6" t="s">
        <v>792</v>
      </c>
      <c r="I444" s="0" t="n">
        <v>0.4</v>
      </c>
      <c r="J444" s="0" t="n">
        <f aca="false">CONVERT(G444,"m^2","ha")</f>
        <v>0.0963566</v>
      </c>
      <c r="K444" s="0" t="b">
        <f aca="false">IF(J444&gt;(I444*2),((ROUNDDOWN(J444/I444,0))-1))</f>
        <v>0</v>
      </c>
    </row>
    <row r="445" customFormat="false" ht="12.75" hidden="false" customHeight="false" outlineLevel="0" collapsed="false">
      <c r="A445" s="5" t="n">
        <v>630</v>
      </c>
      <c r="B445" s="6" t="s">
        <v>1677</v>
      </c>
      <c r="C445" s="6" t="s">
        <v>12</v>
      </c>
      <c r="D445" s="6" t="s">
        <v>1678</v>
      </c>
      <c r="E445" s="6" t="s">
        <v>14</v>
      </c>
      <c r="F445" s="6" t="n">
        <v>6276.52066853</v>
      </c>
      <c r="G445" s="6" t="n">
        <v>6276.521</v>
      </c>
      <c r="H445" s="6" t="s">
        <v>792</v>
      </c>
      <c r="I445" s="0" t="n">
        <v>0.4</v>
      </c>
      <c r="J445" s="0" t="n">
        <f aca="false">CONVERT(G445,"m^2","ha")</f>
        <v>0.6276521</v>
      </c>
      <c r="K445" s="0" t="b">
        <f aca="false">IF(J445&gt;(I445*2),((ROUNDDOWN(J445/I445,0))-1))</f>
        <v>0</v>
      </c>
    </row>
    <row r="446" customFormat="false" ht="12.75" hidden="false" customHeight="false" outlineLevel="0" collapsed="false">
      <c r="A446" s="5" t="n">
        <v>631</v>
      </c>
      <c r="B446" s="6" t="s">
        <v>1679</v>
      </c>
      <c r="C446" s="6" t="s">
        <v>12</v>
      </c>
      <c r="D446" s="6" t="s">
        <v>1680</v>
      </c>
      <c r="E446" s="6" t="s">
        <v>14</v>
      </c>
      <c r="F446" s="6" t="n">
        <v>5267.482262315</v>
      </c>
      <c r="G446" s="6" t="n">
        <v>5267.169</v>
      </c>
      <c r="H446" s="6" t="s">
        <v>792</v>
      </c>
      <c r="I446" s="0" t="n">
        <v>0.4</v>
      </c>
      <c r="J446" s="0" t="n">
        <f aca="false">CONVERT(G446,"m^2","ha")</f>
        <v>0.5267169</v>
      </c>
      <c r="K446" s="0" t="b">
        <f aca="false">IF(J446&gt;(I446*2),((ROUNDDOWN(J446/I446,0))-1))</f>
        <v>0</v>
      </c>
    </row>
    <row r="447" customFormat="false" ht="12.75" hidden="false" customHeight="false" outlineLevel="0" collapsed="false">
      <c r="A447" s="5" t="n">
        <v>633</v>
      </c>
      <c r="B447" s="6" t="s">
        <v>1681</v>
      </c>
      <c r="C447" s="6" t="s">
        <v>12</v>
      </c>
      <c r="D447" s="6" t="s">
        <v>1682</v>
      </c>
      <c r="E447" s="6" t="s">
        <v>14</v>
      </c>
      <c r="F447" s="6" t="n">
        <v>1898.30398697</v>
      </c>
      <c r="G447" s="6" t="n">
        <v>1898.304</v>
      </c>
      <c r="H447" s="6" t="s">
        <v>792</v>
      </c>
      <c r="I447" s="0" t="n">
        <v>0.4</v>
      </c>
      <c r="J447" s="0" t="n">
        <f aca="false">CONVERT(G447,"m^2","ha")</f>
        <v>0.1898304</v>
      </c>
      <c r="K447" s="0" t="b">
        <f aca="false">IF(J447&gt;(I447*2),((ROUNDDOWN(J447/I447,0))-1))</f>
        <v>0</v>
      </c>
    </row>
    <row r="448" customFormat="false" ht="12.75" hidden="false" customHeight="false" outlineLevel="0" collapsed="false">
      <c r="A448" s="5" t="n">
        <v>634</v>
      </c>
      <c r="B448" s="6" t="s">
        <v>1683</v>
      </c>
      <c r="C448" s="6" t="s">
        <v>12</v>
      </c>
      <c r="D448" s="6" t="s">
        <v>1684</v>
      </c>
      <c r="E448" s="6" t="s">
        <v>14</v>
      </c>
      <c r="F448" s="6" t="n">
        <v>820.83312495</v>
      </c>
      <c r="G448" s="6" t="n">
        <v>820.833</v>
      </c>
      <c r="H448" s="6" t="s">
        <v>792</v>
      </c>
      <c r="I448" s="0" t="n">
        <v>0.4</v>
      </c>
      <c r="J448" s="0" t="n">
        <f aca="false">CONVERT(G448,"m^2","ha")</f>
        <v>0.0820833</v>
      </c>
      <c r="K448" s="0" t="b">
        <f aca="false">IF(J448&gt;(I448*2),((ROUNDDOWN(J448/I448,0))-1))</f>
        <v>0</v>
      </c>
    </row>
    <row r="449" customFormat="false" ht="12.75" hidden="false" customHeight="false" outlineLevel="0" collapsed="false">
      <c r="A449" s="5" t="n">
        <v>636</v>
      </c>
      <c r="B449" s="6" t="s">
        <v>1685</v>
      </c>
      <c r="C449" s="6" t="s">
        <v>12</v>
      </c>
      <c r="D449" s="6" t="s">
        <v>1686</v>
      </c>
      <c r="E449" s="6" t="s">
        <v>14</v>
      </c>
      <c r="F449" s="6" t="n">
        <v>1605.32472266</v>
      </c>
      <c r="G449" s="6" t="n">
        <v>1605.325</v>
      </c>
      <c r="H449" s="6" t="s">
        <v>792</v>
      </c>
      <c r="I449" s="0" t="n">
        <v>0.4</v>
      </c>
      <c r="J449" s="0" t="n">
        <f aca="false">CONVERT(G449,"m^2","ha")</f>
        <v>0.1605325</v>
      </c>
      <c r="K449" s="0" t="b">
        <f aca="false">IF(J449&gt;(I449*2),((ROUNDDOWN(J449/I449,0))-1))</f>
        <v>0</v>
      </c>
    </row>
    <row r="450" customFormat="false" ht="12.75" hidden="false" customHeight="false" outlineLevel="0" collapsed="false">
      <c r="A450" s="5" t="n">
        <v>637</v>
      </c>
      <c r="B450" s="6" t="s">
        <v>1687</v>
      </c>
      <c r="C450" s="6" t="s">
        <v>12</v>
      </c>
      <c r="D450" s="6" t="s">
        <v>1688</v>
      </c>
      <c r="E450" s="6" t="s">
        <v>14</v>
      </c>
      <c r="F450" s="6" t="n">
        <v>1035.425239545</v>
      </c>
      <c r="G450" s="6" t="n">
        <v>1035.425</v>
      </c>
      <c r="H450" s="6" t="s">
        <v>792</v>
      </c>
      <c r="I450" s="0" t="n">
        <v>0.4</v>
      </c>
      <c r="J450" s="0" t="n">
        <f aca="false">CONVERT(G450,"m^2","ha")</f>
        <v>0.1035425</v>
      </c>
      <c r="K450" s="0" t="b">
        <f aca="false">IF(J450&gt;(I450*2),((ROUNDDOWN(J450/I450,0))-1))</f>
        <v>0</v>
      </c>
    </row>
    <row r="451" customFormat="false" ht="12.75" hidden="false" customHeight="false" outlineLevel="0" collapsed="false">
      <c r="A451" s="5" t="n">
        <v>638</v>
      </c>
      <c r="B451" s="6" t="s">
        <v>1689</v>
      </c>
      <c r="C451" s="6" t="s">
        <v>12</v>
      </c>
      <c r="D451" s="6" t="s">
        <v>1690</v>
      </c>
      <c r="E451" s="6" t="s">
        <v>14</v>
      </c>
      <c r="F451" s="6" t="n">
        <v>1004.646319765</v>
      </c>
      <c r="G451" s="6" t="n">
        <v>1004.646</v>
      </c>
      <c r="H451" s="6" t="s">
        <v>792</v>
      </c>
      <c r="I451" s="0" t="n">
        <v>0.4</v>
      </c>
      <c r="J451" s="0" t="n">
        <f aca="false">CONVERT(G451,"m^2","ha")</f>
        <v>0.1004646</v>
      </c>
      <c r="K451" s="0" t="b">
        <f aca="false">IF(J451&gt;(I451*2),((ROUNDDOWN(J451/I451,0))-1))</f>
        <v>0</v>
      </c>
    </row>
    <row r="452" customFormat="false" ht="12.75" hidden="false" customHeight="false" outlineLevel="0" collapsed="false">
      <c r="A452" s="5" t="n">
        <v>639</v>
      </c>
      <c r="B452" s="6" t="s">
        <v>1691</v>
      </c>
      <c r="C452" s="6" t="s">
        <v>12</v>
      </c>
      <c r="D452" s="6" t="s">
        <v>1692</v>
      </c>
      <c r="E452" s="6" t="s">
        <v>14</v>
      </c>
      <c r="F452" s="6" t="n">
        <v>2190.313780675</v>
      </c>
      <c r="G452" s="6" t="n">
        <v>2190.314</v>
      </c>
      <c r="H452" s="6" t="s">
        <v>792</v>
      </c>
      <c r="I452" s="0" t="n">
        <v>0.4</v>
      </c>
      <c r="J452" s="0" t="n">
        <f aca="false">CONVERT(G452,"m^2","ha")</f>
        <v>0.2190314</v>
      </c>
      <c r="K452" s="0" t="b">
        <f aca="false">IF(J452&gt;(I452*2),((ROUNDDOWN(J452/I452,0))-1))</f>
        <v>0</v>
      </c>
    </row>
    <row r="453" customFormat="false" ht="12.75" hidden="false" customHeight="false" outlineLevel="0" collapsed="false">
      <c r="A453" s="5" t="n">
        <v>640</v>
      </c>
      <c r="B453" s="6" t="s">
        <v>1693</v>
      </c>
      <c r="C453" s="6" t="s">
        <v>12</v>
      </c>
      <c r="D453" s="6" t="s">
        <v>1694</v>
      </c>
      <c r="E453" s="6" t="s">
        <v>14</v>
      </c>
      <c r="F453" s="6" t="n">
        <v>1890.75163512</v>
      </c>
      <c r="G453" s="6" t="n">
        <v>1890.752</v>
      </c>
      <c r="H453" s="6" t="s">
        <v>792</v>
      </c>
      <c r="I453" s="0" t="n">
        <v>0.4</v>
      </c>
      <c r="J453" s="0" t="n">
        <f aca="false">CONVERT(G453,"m^2","ha")</f>
        <v>0.1890752</v>
      </c>
      <c r="K453" s="0" t="b">
        <f aca="false">IF(J453&gt;(I453*2),((ROUNDDOWN(J453/I453,0))-1))</f>
        <v>0</v>
      </c>
    </row>
    <row r="454" customFormat="false" ht="12.75" hidden="false" customHeight="false" outlineLevel="0" collapsed="false">
      <c r="A454" s="5" t="n">
        <v>641</v>
      </c>
      <c r="B454" s="6" t="s">
        <v>1695</v>
      </c>
      <c r="C454" s="6" t="s">
        <v>12</v>
      </c>
      <c r="D454" s="6" t="s">
        <v>1696</v>
      </c>
      <c r="E454" s="6" t="s">
        <v>14</v>
      </c>
      <c r="F454" s="6" t="n">
        <v>756.16660848</v>
      </c>
      <c r="G454" s="6" t="n">
        <v>756.167</v>
      </c>
      <c r="H454" s="6" t="s">
        <v>792</v>
      </c>
      <c r="I454" s="0" t="n">
        <v>0.4</v>
      </c>
      <c r="J454" s="0" t="n">
        <f aca="false">CONVERT(G454,"m^2","ha")</f>
        <v>0.0756167</v>
      </c>
      <c r="K454" s="0" t="b">
        <f aca="false">IF(J454&gt;(I454*2),((ROUNDDOWN(J454/I454,0))-1))</f>
        <v>0</v>
      </c>
    </row>
    <row r="455" customFormat="false" ht="12.75" hidden="false" customHeight="false" outlineLevel="0" collapsed="false">
      <c r="A455" s="5" t="n">
        <v>642</v>
      </c>
      <c r="B455" s="6" t="s">
        <v>1697</v>
      </c>
      <c r="C455" s="6" t="s">
        <v>12</v>
      </c>
      <c r="D455" s="6" t="s">
        <v>1698</v>
      </c>
      <c r="E455" s="6" t="s">
        <v>14</v>
      </c>
      <c r="F455" s="6" t="n">
        <v>1009.613131895</v>
      </c>
      <c r="G455" s="6" t="n">
        <v>1009.613</v>
      </c>
      <c r="H455" s="6" t="s">
        <v>792</v>
      </c>
      <c r="I455" s="0" t="n">
        <v>0.4</v>
      </c>
      <c r="J455" s="0" t="n">
        <f aca="false">CONVERT(G455,"m^2","ha")</f>
        <v>0.1009613</v>
      </c>
      <c r="K455" s="0" t="b">
        <f aca="false">IF(J455&gt;(I455*2),((ROUNDDOWN(J455/I455,0))-1))</f>
        <v>0</v>
      </c>
    </row>
    <row r="456" customFormat="false" ht="12.75" hidden="false" customHeight="false" outlineLevel="0" collapsed="false">
      <c r="A456" s="5" t="n">
        <v>643</v>
      </c>
      <c r="B456" s="6" t="s">
        <v>1699</v>
      </c>
      <c r="C456" s="6" t="s">
        <v>12</v>
      </c>
      <c r="D456" s="6" t="s">
        <v>1700</v>
      </c>
      <c r="E456" s="6" t="s">
        <v>14</v>
      </c>
      <c r="F456" s="6" t="n">
        <v>1015.809386695</v>
      </c>
      <c r="G456" s="6" t="n">
        <v>1015.809</v>
      </c>
      <c r="H456" s="6" t="s">
        <v>792</v>
      </c>
      <c r="I456" s="0" t="n">
        <v>0.4</v>
      </c>
      <c r="J456" s="0" t="n">
        <f aca="false">CONVERT(G456,"m^2","ha")</f>
        <v>0.1015809</v>
      </c>
      <c r="K456" s="0" t="b">
        <f aca="false">IF(J456&gt;(I456*2),((ROUNDDOWN(J456/I456,0))-1))</f>
        <v>0</v>
      </c>
    </row>
    <row r="457" customFormat="false" ht="12.75" hidden="false" customHeight="false" outlineLevel="0" collapsed="false">
      <c r="A457" s="5" t="n">
        <v>644</v>
      </c>
      <c r="B457" s="6" t="s">
        <v>1701</v>
      </c>
      <c r="C457" s="6" t="s">
        <v>12</v>
      </c>
      <c r="D457" s="6" t="s">
        <v>1702</v>
      </c>
      <c r="E457" s="6" t="s">
        <v>14</v>
      </c>
      <c r="F457" s="6" t="n">
        <v>1035.073799715</v>
      </c>
      <c r="G457" s="6" t="n">
        <v>1035.074</v>
      </c>
      <c r="H457" s="6" t="s">
        <v>792</v>
      </c>
      <c r="I457" s="0" t="n">
        <v>0.4</v>
      </c>
      <c r="J457" s="0" t="n">
        <f aca="false">CONVERT(G457,"m^2","ha")</f>
        <v>0.1035074</v>
      </c>
      <c r="K457" s="0" t="b">
        <f aca="false">IF(J457&gt;(I457*2),((ROUNDDOWN(J457/I457,0))-1))</f>
        <v>0</v>
      </c>
    </row>
    <row r="458" customFormat="false" ht="12.75" hidden="false" customHeight="false" outlineLevel="0" collapsed="false">
      <c r="A458" s="5" t="n">
        <v>645</v>
      </c>
      <c r="B458" s="6" t="s">
        <v>1703</v>
      </c>
      <c r="C458" s="6" t="s">
        <v>12</v>
      </c>
      <c r="D458" s="6" t="s">
        <v>1704</v>
      </c>
      <c r="E458" s="6" t="s">
        <v>14</v>
      </c>
      <c r="F458" s="6" t="n">
        <v>786.116052525</v>
      </c>
      <c r="G458" s="6" t="n">
        <v>786.116</v>
      </c>
      <c r="H458" s="6" t="s">
        <v>792</v>
      </c>
      <c r="I458" s="0" t="n">
        <v>0.4</v>
      </c>
      <c r="J458" s="0" t="n">
        <f aca="false">CONVERT(G458,"m^2","ha")</f>
        <v>0.0786116</v>
      </c>
      <c r="K458" s="0" t="b">
        <f aca="false">IF(J458&gt;(I458*2),((ROUNDDOWN(J458/I458,0))-1))</f>
        <v>0</v>
      </c>
    </row>
    <row r="459" customFormat="false" ht="12.75" hidden="false" customHeight="false" outlineLevel="0" collapsed="false">
      <c r="A459" s="5" t="n">
        <v>646</v>
      </c>
      <c r="B459" s="6" t="s">
        <v>1705</v>
      </c>
      <c r="C459" s="6" t="s">
        <v>12</v>
      </c>
      <c r="D459" s="6" t="s">
        <v>1706</v>
      </c>
      <c r="E459" s="6" t="s">
        <v>14</v>
      </c>
      <c r="F459" s="6" t="n">
        <v>1469.60318944</v>
      </c>
      <c r="G459" s="6" t="n">
        <v>1469.26</v>
      </c>
      <c r="H459" s="6" t="s">
        <v>792</v>
      </c>
      <c r="I459" s="0" t="n">
        <v>0.4</v>
      </c>
      <c r="J459" s="0" t="n">
        <f aca="false">CONVERT(G459,"m^2","ha")</f>
        <v>0.146926</v>
      </c>
      <c r="K459" s="0" t="b">
        <f aca="false">IF(J459&gt;(I459*2),((ROUNDDOWN(J459/I459,0))-1))</f>
        <v>0</v>
      </c>
    </row>
    <row r="460" customFormat="false" ht="12.75" hidden="false" customHeight="false" outlineLevel="0" collapsed="false">
      <c r="A460" s="5" t="n">
        <v>647</v>
      </c>
      <c r="B460" s="6" t="s">
        <v>1707</v>
      </c>
      <c r="C460" s="6" t="s">
        <v>12</v>
      </c>
      <c r="D460" s="6" t="s">
        <v>1708</v>
      </c>
      <c r="E460" s="6" t="s">
        <v>14</v>
      </c>
      <c r="F460" s="6" t="n">
        <v>5156.425346535</v>
      </c>
      <c r="G460" s="6" t="n">
        <v>5156.077</v>
      </c>
      <c r="H460" s="6" t="s">
        <v>792</v>
      </c>
      <c r="I460" s="0" t="n">
        <v>0.4</v>
      </c>
      <c r="J460" s="0" t="n">
        <f aca="false">CONVERT(G460,"m^2","ha")</f>
        <v>0.5156077</v>
      </c>
      <c r="K460" s="0" t="b">
        <f aca="false">IF(J460&gt;(I460*2),((ROUNDDOWN(J460/I460,0))-1))</f>
        <v>0</v>
      </c>
    </row>
    <row r="461" customFormat="false" ht="12.75" hidden="false" customHeight="false" outlineLevel="0" collapsed="false">
      <c r="A461" s="5" t="n">
        <v>648</v>
      </c>
      <c r="B461" s="6" t="s">
        <v>1709</v>
      </c>
      <c r="C461" s="6" t="s">
        <v>12</v>
      </c>
      <c r="D461" s="6" t="s">
        <v>1710</v>
      </c>
      <c r="E461" s="6" t="s">
        <v>14</v>
      </c>
      <c r="F461" s="6" t="n">
        <v>1027.566349525</v>
      </c>
      <c r="G461" s="6" t="n">
        <v>1027.566</v>
      </c>
      <c r="H461" s="6" t="s">
        <v>792</v>
      </c>
      <c r="I461" s="0" t="n">
        <v>0.4</v>
      </c>
      <c r="J461" s="0" t="n">
        <f aca="false">CONVERT(G461,"m^2","ha")</f>
        <v>0.1027566</v>
      </c>
      <c r="K461" s="0" t="b">
        <f aca="false">IF(J461&gt;(I461*2),((ROUNDDOWN(J461/I461,0))-1))</f>
        <v>0</v>
      </c>
    </row>
    <row r="462" customFormat="false" ht="12.75" hidden="false" customHeight="false" outlineLevel="0" collapsed="false">
      <c r="A462" s="5" t="n">
        <v>649</v>
      </c>
      <c r="B462" s="6" t="s">
        <v>1711</v>
      </c>
      <c r="C462" s="6" t="s">
        <v>12</v>
      </c>
      <c r="D462" s="6" t="s">
        <v>1712</v>
      </c>
      <c r="E462" s="6" t="s">
        <v>14</v>
      </c>
      <c r="F462" s="6" t="n">
        <v>1699.25277151</v>
      </c>
      <c r="G462" s="6" t="n">
        <v>1699.253</v>
      </c>
      <c r="H462" s="6" t="s">
        <v>792</v>
      </c>
      <c r="I462" s="0" t="n">
        <v>0.4</v>
      </c>
      <c r="J462" s="0" t="n">
        <f aca="false">CONVERT(G462,"m^2","ha")</f>
        <v>0.1699253</v>
      </c>
      <c r="K462" s="0" t="b">
        <f aca="false">IF(J462&gt;(I462*2),((ROUNDDOWN(J462/I462,0))-1))</f>
        <v>0</v>
      </c>
    </row>
    <row r="463" customFormat="false" ht="12.75" hidden="false" customHeight="false" outlineLevel="0" collapsed="false">
      <c r="A463" s="5" t="n">
        <v>650</v>
      </c>
      <c r="B463" s="6" t="s">
        <v>1713</v>
      </c>
      <c r="C463" s="6" t="s">
        <v>12</v>
      </c>
      <c r="D463" s="6" t="s">
        <v>1714</v>
      </c>
      <c r="E463" s="6" t="s">
        <v>14</v>
      </c>
      <c r="F463" s="6" t="n">
        <v>1849.202315625</v>
      </c>
      <c r="G463" s="6" t="n">
        <v>1849.202</v>
      </c>
      <c r="H463" s="6" t="s">
        <v>792</v>
      </c>
      <c r="I463" s="0" t="n">
        <v>0.4</v>
      </c>
      <c r="J463" s="0" t="n">
        <f aca="false">CONVERT(G463,"m^2","ha")</f>
        <v>0.1849202</v>
      </c>
      <c r="K463" s="0" t="b">
        <f aca="false">IF(J463&gt;(I463*2),((ROUNDDOWN(J463/I463,0))-1))</f>
        <v>0</v>
      </c>
    </row>
    <row r="464" customFormat="false" ht="12.75" hidden="false" customHeight="false" outlineLevel="0" collapsed="false">
      <c r="A464" s="5" t="n">
        <v>651</v>
      </c>
      <c r="B464" s="6" t="s">
        <v>1715</v>
      </c>
      <c r="C464" s="6" t="s">
        <v>12</v>
      </c>
      <c r="D464" s="6" t="s">
        <v>1716</v>
      </c>
      <c r="E464" s="6" t="s">
        <v>14</v>
      </c>
      <c r="F464" s="6" t="n">
        <v>998.28262311</v>
      </c>
      <c r="G464" s="6" t="n">
        <v>998.283</v>
      </c>
      <c r="H464" s="6" t="s">
        <v>792</v>
      </c>
      <c r="I464" s="0" t="n">
        <v>0.4</v>
      </c>
      <c r="J464" s="0" t="n">
        <f aca="false">CONVERT(G464,"m^2","ha")</f>
        <v>0.0998283</v>
      </c>
      <c r="K464" s="0" t="b">
        <f aca="false">IF(J464&gt;(I464*2),((ROUNDDOWN(J464/I464,0))-1))</f>
        <v>0</v>
      </c>
    </row>
    <row r="465" customFormat="false" ht="12.75" hidden="false" customHeight="false" outlineLevel="0" collapsed="false">
      <c r="A465" s="5" t="n">
        <v>652</v>
      </c>
      <c r="B465" s="6" t="s">
        <v>1717</v>
      </c>
      <c r="C465" s="6" t="s">
        <v>12</v>
      </c>
      <c r="D465" s="6" t="s">
        <v>1718</v>
      </c>
      <c r="E465" s="6" t="s">
        <v>14</v>
      </c>
      <c r="F465" s="6" t="n">
        <v>2075.67328717</v>
      </c>
      <c r="G465" s="6" t="n">
        <v>2075.673</v>
      </c>
      <c r="H465" s="6" t="s">
        <v>792</v>
      </c>
      <c r="I465" s="0" t="n">
        <v>0.4</v>
      </c>
      <c r="J465" s="0" t="n">
        <f aca="false">CONVERT(G465,"m^2","ha")</f>
        <v>0.2075673</v>
      </c>
      <c r="K465" s="0" t="b">
        <f aca="false">IF(J465&gt;(I465*2),((ROUNDDOWN(J465/I465,0))-1))</f>
        <v>0</v>
      </c>
    </row>
    <row r="466" customFormat="false" ht="12.75" hidden="false" customHeight="false" outlineLevel="0" collapsed="false">
      <c r="A466" s="5" t="n">
        <v>653</v>
      </c>
      <c r="B466" s="6" t="s">
        <v>1719</v>
      </c>
      <c r="C466" s="6" t="s">
        <v>12</v>
      </c>
      <c r="D466" s="6" t="s">
        <v>1720</v>
      </c>
      <c r="E466" s="6" t="s">
        <v>14</v>
      </c>
      <c r="F466" s="6" t="n">
        <v>1019.0634802</v>
      </c>
      <c r="G466" s="6" t="n">
        <v>1019.063</v>
      </c>
      <c r="H466" s="6" t="s">
        <v>792</v>
      </c>
      <c r="I466" s="0" t="n">
        <v>0.4</v>
      </c>
      <c r="J466" s="0" t="n">
        <f aca="false">CONVERT(G466,"m^2","ha")</f>
        <v>0.1019063</v>
      </c>
      <c r="K466" s="0" t="b">
        <f aca="false">IF(J466&gt;(I466*2),((ROUNDDOWN(J466/I466,0))-1))</f>
        <v>0</v>
      </c>
    </row>
    <row r="467" customFormat="false" ht="12.75" hidden="false" customHeight="false" outlineLevel="0" collapsed="false">
      <c r="A467" s="5" t="n">
        <v>654</v>
      </c>
      <c r="B467" s="6" t="s">
        <v>1721</v>
      </c>
      <c r="C467" s="6" t="s">
        <v>12</v>
      </c>
      <c r="D467" s="6" t="s">
        <v>1722</v>
      </c>
      <c r="E467" s="6" t="s">
        <v>14</v>
      </c>
      <c r="F467" s="6" t="n">
        <v>1793.883062485</v>
      </c>
      <c r="G467" s="6" t="n">
        <v>1793.883</v>
      </c>
      <c r="H467" s="6" t="s">
        <v>792</v>
      </c>
      <c r="I467" s="0" t="n">
        <v>0.4</v>
      </c>
      <c r="J467" s="0" t="n">
        <f aca="false">CONVERT(G467,"m^2","ha")</f>
        <v>0.1793883</v>
      </c>
      <c r="K467" s="0" t="b">
        <f aca="false">IF(J467&gt;(I467*2),((ROUNDDOWN(J467/I467,0))-1))</f>
        <v>0</v>
      </c>
    </row>
    <row r="468" customFormat="false" ht="12.75" hidden="false" customHeight="false" outlineLevel="0" collapsed="false">
      <c r="A468" s="5" t="n">
        <v>655</v>
      </c>
      <c r="B468" s="6" t="s">
        <v>1723</v>
      </c>
      <c r="C468" s="6" t="s">
        <v>12</v>
      </c>
      <c r="D468" s="6" t="s">
        <v>1724</v>
      </c>
      <c r="E468" s="6" t="s">
        <v>14</v>
      </c>
      <c r="F468" s="6" t="n">
        <v>1846.130573825</v>
      </c>
      <c r="G468" s="6" t="n">
        <v>1846.131</v>
      </c>
      <c r="H468" s="6" t="s">
        <v>792</v>
      </c>
      <c r="I468" s="0" t="n">
        <v>0.4</v>
      </c>
      <c r="J468" s="0" t="n">
        <f aca="false">CONVERT(G468,"m^2","ha")</f>
        <v>0.1846131</v>
      </c>
      <c r="K468" s="0" t="b">
        <f aca="false">IF(J468&gt;(I468*2),((ROUNDDOWN(J468/I468,0))-1))</f>
        <v>0</v>
      </c>
    </row>
    <row r="469" customFormat="false" ht="12.75" hidden="false" customHeight="false" outlineLevel="0" collapsed="false">
      <c r="A469" s="5" t="n">
        <v>656</v>
      </c>
      <c r="B469" s="6" t="s">
        <v>1725</v>
      </c>
      <c r="C469" s="6" t="s">
        <v>12</v>
      </c>
      <c r="D469" s="6" t="s">
        <v>1726</v>
      </c>
      <c r="E469" s="6" t="s">
        <v>14</v>
      </c>
      <c r="F469" s="6" t="n">
        <v>995.59817262</v>
      </c>
      <c r="G469" s="6" t="n">
        <v>995.598</v>
      </c>
      <c r="H469" s="6" t="s">
        <v>792</v>
      </c>
      <c r="I469" s="0" t="n">
        <v>0.4</v>
      </c>
      <c r="J469" s="0" t="n">
        <f aca="false">CONVERT(G469,"m^2","ha")</f>
        <v>0.0995598</v>
      </c>
      <c r="K469" s="0" t="b">
        <f aca="false">IF(J469&gt;(I469*2),((ROUNDDOWN(J469/I469,0))-1))</f>
        <v>0</v>
      </c>
    </row>
    <row r="470" customFormat="false" ht="12.75" hidden="false" customHeight="false" outlineLevel="0" collapsed="false">
      <c r="A470" s="5" t="n">
        <v>657</v>
      </c>
      <c r="B470" s="6" t="s">
        <v>1727</v>
      </c>
      <c r="C470" s="6" t="s">
        <v>12</v>
      </c>
      <c r="D470" s="6" t="s">
        <v>1728</v>
      </c>
      <c r="E470" s="6" t="s">
        <v>14</v>
      </c>
      <c r="F470" s="6" t="n">
        <v>783.475857835</v>
      </c>
      <c r="G470" s="6" t="n">
        <v>783.476</v>
      </c>
      <c r="H470" s="6" t="s">
        <v>792</v>
      </c>
      <c r="I470" s="0" t="n">
        <v>0.4</v>
      </c>
      <c r="J470" s="0" t="n">
        <f aca="false">CONVERT(G470,"m^2","ha")</f>
        <v>0.0783476</v>
      </c>
      <c r="K470" s="0" t="b">
        <f aca="false">IF(J470&gt;(I470*2),((ROUNDDOWN(J470/I470,0))-1))</f>
        <v>0</v>
      </c>
    </row>
    <row r="471" customFormat="false" ht="12.75" hidden="false" customHeight="false" outlineLevel="0" collapsed="false">
      <c r="A471" s="5" t="n">
        <v>658</v>
      </c>
      <c r="B471" s="6" t="s">
        <v>1729</v>
      </c>
      <c r="C471" s="6" t="s">
        <v>12</v>
      </c>
      <c r="D471" s="6" t="s">
        <v>1730</v>
      </c>
      <c r="E471" s="6" t="s">
        <v>14</v>
      </c>
      <c r="F471" s="6" t="n">
        <v>1032.89842278</v>
      </c>
      <c r="G471" s="6" t="n">
        <v>1032.898</v>
      </c>
      <c r="H471" s="6" t="s">
        <v>792</v>
      </c>
      <c r="I471" s="0" t="n">
        <v>0.4</v>
      </c>
      <c r="J471" s="0" t="n">
        <f aca="false">CONVERT(G471,"m^2","ha")</f>
        <v>0.1032898</v>
      </c>
      <c r="K471" s="0" t="b">
        <f aca="false">IF(J471&gt;(I471*2),((ROUNDDOWN(J471/I471,0))-1))</f>
        <v>0</v>
      </c>
    </row>
    <row r="472" customFormat="false" ht="12.75" hidden="false" customHeight="false" outlineLevel="0" collapsed="false">
      <c r="A472" s="5" t="n">
        <v>659</v>
      </c>
      <c r="B472" s="6" t="s">
        <v>1731</v>
      </c>
      <c r="C472" s="6" t="s">
        <v>12</v>
      </c>
      <c r="D472" s="6" t="s">
        <v>1732</v>
      </c>
      <c r="E472" s="6" t="s">
        <v>14</v>
      </c>
      <c r="F472" s="6" t="n">
        <v>1946.06048291</v>
      </c>
      <c r="G472" s="6" t="n">
        <v>1946.06</v>
      </c>
      <c r="H472" s="6" t="s">
        <v>792</v>
      </c>
      <c r="I472" s="0" t="n">
        <v>0.4</v>
      </c>
      <c r="J472" s="0" t="n">
        <f aca="false">CONVERT(G472,"m^2","ha")</f>
        <v>0.194606</v>
      </c>
      <c r="K472" s="0" t="b">
        <f aca="false">IF(J472&gt;(I472*2),((ROUNDDOWN(J472/I472,0))-1))</f>
        <v>0</v>
      </c>
    </row>
    <row r="473" customFormat="false" ht="12.75" hidden="false" customHeight="false" outlineLevel="0" collapsed="false">
      <c r="A473" s="5" t="n">
        <v>660</v>
      </c>
      <c r="B473" s="6" t="s">
        <v>1733</v>
      </c>
      <c r="C473" s="6" t="s">
        <v>12</v>
      </c>
      <c r="D473" s="6" t="s">
        <v>1734</v>
      </c>
      <c r="E473" s="6" t="s">
        <v>14</v>
      </c>
      <c r="F473" s="6" t="n">
        <v>1032.65726142</v>
      </c>
      <c r="G473" s="6" t="n">
        <v>1032.657</v>
      </c>
      <c r="H473" s="6" t="s">
        <v>792</v>
      </c>
      <c r="I473" s="0" t="n">
        <v>0.4</v>
      </c>
      <c r="J473" s="0" t="n">
        <f aca="false">CONVERT(G473,"m^2","ha")</f>
        <v>0.1032657</v>
      </c>
      <c r="K473" s="0" t="b">
        <f aca="false">IF(J473&gt;(I473*2),((ROUNDDOWN(J473/I473,0))-1))</f>
        <v>0</v>
      </c>
    </row>
    <row r="474" customFormat="false" ht="12.75" hidden="false" customHeight="false" outlineLevel="0" collapsed="false">
      <c r="A474" s="5" t="n">
        <v>661</v>
      </c>
      <c r="B474" s="6" t="s">
        <v>1735</v>
      </c>
      <c r="C474" s="6" t="s">
        <v>12</v>
      </c>
      <c r="D474" s="6" t="s">
        <v>1736</v>
      </c>
      <c r="E474" s="6" t="s">
        <v>14</v>
      </c>
      <c r="F474" s="6" t="n">
        <v>1916.645146285</v>
      </c>
      <c r="G474" s="6" t="n">
        <v>1916.645</v>
      </c>
      <c r="H474" s="6" t="s">
        <v>792</v>
      </c>
      <c r="I474" s="0" t="n">
        <v>0.4</v>
      </c>
      <c r="J474" s="0" t="n">
        <f aca="false">CONVERT(G474,"m^2","ha")</f>
        <v>0.1916645</v>
      </c>
      <c r="K474" s="0" t="b">
        <f aca="false">IF(J474&gt;(I474*2),((ROUNDDOWN(J474/I474,0))-1))</f>
        <v>0</v>
      </c>
    </row>
    <row r="475" customFormat="false" ht="12.75" hidden="false" customHeight="false" outlineLevel="0" collapsed="false">
      <c r="A475" s="5" t="n">
        <v>662</v>
      </c>
      <c r="B475" s="6" t="s">
        <v>1737</v>
      </c>
      <c r="C475" s="6" t="s">
        <v>12</v>
      </c>
      <c r="D475" s="6" t="s">
        <v>1738</v>
      </c>
      <c r="E475" s="6" t="s">
        <v>14</v>
      </c>
      <c r="F475" s="6" t="n">
        <v>855.86887536</v>
      </c>
      <c r="G475" s="6" t="n">
        <v>855.869</v>
      </c>
      <c r="H475" s="6" t="s">
        <v>792</v>
      </c>
      <c r="I475" s="0" t="n">
        <v>0.4</v>
      </c>
      <c r="J475" s="0" t="n">
        <f aca="false">CONVERT(G475,"m^2","ha")</f>
        <v>0.0855869</v>
      </c>
      <c r="K475" s="0" t="b">
        <f aca="false">IF(J475&gt;(I475*2),((ROUNDDOWN(J475/I475,0))-1))</f>
        <v>0</v>
      </c>
    </row>
    <row r="476" customFormat="false" ht="12.75" hidden="false" customHeight="false" outlineLevel="0" collapsed="false">
      <c r="A476" s="5" t="n">
        <v>663</v>
      </c>
      <c r="B476" s="6" t="s">
        <v>1739</v>
      </c>
      <c r="C476" s="6" t="s">
        <v>12</v>
      </c>
      <c r="D476" s="6" t="s">
        <v>1740</v>
      </c>
      <c r="E476" s="6" t="s">
        <v>14</v>
      </c>
      <c r="F476" s="6" t="n">
        <v>2429.85117923</v>
      </c>
      <c r="G476" s="6" t="n">
        <v>2429.964</v>
      </c>
      <c r="H476" s="6" t="s">
        <v>792</v>
      </c>
      <c r="I476" s="0" t="n">
        <v>0.4</v>
      </c>
      <c r="J476" s="0" t="n">
        <f aca="false">CONVERT(G476,"m^2","ha")</f>
        <v>0.2429964</v>
      </c>
      <c r="K476" s="0" t="b">
        <f aca="false">IF(J476&gt;(I476*2),((ROUNDDOWN(J476/I476,0))-1))</f>
        <v>0</v>
      </c>
    </row>
    <row r="477" customFormat="false" ht="12.75" hidden="false" customHeight="false" outlineLevel="0" collapsed="false">
      <c r="A477" s="5" t="n">
        <v>664</v>
      </c>
      <c r="B477" s="6" t="s">
        <v>1741</v>
      </c>
      <c r="C477" s="6" t="s">
        <v>12</v>
      </c>
      <c r="D477" s="6" t="s">
        <v>1742</v>
      </c>
      <c r="E477" s="6" t="s">
        <v>14</v>
      </c>
      <c r="F477" s="6" t="n">
        <v>1059.16183243</v>
      </c>
      <c r="G477" s="6" t="n">
        <v>1059.162</v>
      </c>
      <c r="H477" s="6" t="s">
        <v>792</v>
      </c>
      <c r="I477" s="0" t="n">
        <v>0.4</v>
      </c>
      <c r="J477" s="0" t="n">
        <f aca="false">CONVERT(G477,"m^2","ha")</f>
        <v>0.1059162</v>
      </c>
      <c r="K477" s="0" t="b">
        <f aca="false">IF(J477&gt;(I477*2),((ROUNDDOWN(J477/I477,0))-1))</f>
        <v>0</v>
      </c>
    </row>
    <row r="478" customFormat="false" ht="12.75" hidden="false" customHeight="false" outlineLevel="0" collapsed="false">
      <c r="A478" s="5" t="n">
        <v>665</v>
      </c>
      <c r="B478" s="6" t="s">
        <v>1743</v>
      </c>
      <c r="C478" s="6" t="s">
        <v>12</v>
      </c>
      <c r="D478" s="6" t="s">
        <v>1744</v>
      </c>
      <c r="E478" s="6" t="s">
        <v>14</v>
      </c>
      <c r="F478" s="6" t="n">
        <v>1047.47374596</v>
      </c>
      <c r="G478" s="6" t="n">
        <v>1047.474</v>
      </c>
      <c r="H478" s="6" t="s">
        <v>792</v>
      </c>
      <c r="I478" s="0" t="n">
        <v>0.4</v>
      </c>
      <c r="J478" s="0" t="n">
        <f aca="false">CONVERT(G478,"m^2","ha")</f>
        <v>0.1047474</v>
      </c>
      <c r="K478" s="0" t="b">
        <f aca="false">IF(J478&gt;(I478*2),((ROUNDDOWN(J478/I478,0))-1))</f>
        <v>0</v>
      </c>
    </row>
    <row r="479" customFormat="false" ht="12.75" hidden="false" customHeight="false" outlineLevel="0" collapsed="false">
      <c r="A479" s="5" t="n">
        <v>666</v>
      </c>
      <c r="B479" s="6" t="s">
        <v>1745</v>
      </c>
      <c r="C479" s="6" t="s">
        <v>12</v>
      </c>
      <c r="D479" s="6" t="s">
        <v>1746</v>
      </c>
      <c r="E479" s="6" t="s">
        <v>14</v>
      </c>
      <c r="F479" s="6" t="n">
        <v>1041.23982657</v>
      </c>
      <c r="G479" s="6" t="n">
        <v>1041.24</v>
      </c>
      <c r="H479" s="6" t="s">
        <v>792</v>
      </c>
      <c r="I479" s="0" t="n">
        <v>0.4</v>
      </c>
      <c r="J479" s="0" t="n">
        <f aca="false">CONVERT(G479,"m^2","ha")</f>
        <v>0.104124</v>
      </c>
      <c r="K479" s="0" t="b">
        <f aca="false">IF(J479&gt;(I479*2),((ROUNDDOWN(J479/I479,0))-1))</f>
        <v>0</v>
      </c>
    </row>
    <row r="480" customFormat="false" ht="12.75" hidden="false" customHeight="false" outlineLevel="0" collapsed="false">
      <c r="A480" s="5" t="n">
        <v>667</v>
      </c>
      <c r="B480" s="6" t="s">
        <v>1747</v>
      </c>
      <c r="C480" s="6" t="s">
        <v>12</v>
      </c>
      <c r="D480" s="6" t="s">
        <v>1748</v>
      </c>
      <c r="E480" s="6" t="s">
        <v>14</v>
      </c>
      <c r="F480" s="6" t="n">
        <v>1847.37844948</v>
      </c>
      <c r="G480" s="6" t="n">
        <v>1847.378</v>
      </c>
      <c r="H480" s="6" t="s">
        <v>792</v>
      </c>
      <c r="I480" s="0" t="n">
        <v>0.4</v>
      </c>
      <c r="J480" s="0" t="n">
        <f aca="false">CONVERT(G480,"m^2","ha")</f>
        <v>0.1847378</v>
      </c>
      <c r="K480" s="0" t="b">
        <f aca="false">IF(J480&gt;(I480*2),((ROUNDDOWN(J480/I480,0))-1))</f>
        <v>0</v>
      </c>
    </row>
    <row r="481" customFormat="false" ht="12.75" hidden="false" customHeight="false" outlineLevel="0" collapsed="false">
      <c r="A481" s="5" t="n">
        <v>668</v>
      </c>
      <c r="B481" s="6" t="s">
        <v>1749</v>
      </c>
      <c r="C481" s="6" t="s">
        <v>12</v>
      </c>
      <c r="D481" s="6" t="s">
        <v>1750</v>
      </c>
      <c r="E481" s="6" t="s">
        <v>14</v>
      </c>
      <c r="F481" s="6" t="n">
        <v>1959.70383964</v>
      </c>
      <c r="G481" s="6" t="n">
        <v>1959.704</v>
      </c>
      <c r="H481" s="6" t="s">
        <v>792</v>
      </c>
      <c r="I481" s="0" t="n">
        <v>0.4</v>
      </c>
      <c r="J481" s="0" t="n">
        <f aca="false">CONVERT(G481,"m^2","ha")</f>
        <v>0.1959704</v>
      </c>
      <c r="K481" s="0" t="b">
        <f aca="false">IF(J481&gt;(I481*2),((ROUNDDOWN(J481/I481,0))-1))</f>
        <v>0</v>
      </c>
    </row>
    <row r="482" customFormat="false" ht="12.75" hidden="false" customHeight="false" outlineLevel="0" collapsed="false">
      <c r="A482" s="5" t="n">
        <v>669</v>
      </c>
      <c r="B482" s="6" t="s">
        <v>1751</v>
      </c>
      <c r="C482" s="6" t="s">
        <v>12</v>
      </c>
      <c r="D482" s="6" t="s">
        <v>1752</v>
      </c>
      <c r="E482" s="6" t="s">
        <v>14</v>
      </c>
      <c r="F482" s="6" t="n">
        <v>1031.05665954</v>
      </c>
      <c r="G482" s="6" t="n">
        <v>1031.057</v>
      </c>
      <c r="H482" s="6" t="s">
        <v>792</v>
      </c>
      <c r="I482" s="0" t="n">
        <v>0.4</v>
      </c>
      <c r="J482" s="0" t="n">
        <f aca="false">CONVERT(G482,"m^2","ha")</f>
        <v>0.1031057</v>
      </c>
      <c r="K482" s="0" t="b">
        <f aca="false">IF(J482&gt;(I482*2),((ROUNDDOWN(J482/I482,0))-1))</f>
        <v>0</v>
      </c>
    </row>
    <row r="483" customFormat="false" ht="12.75" hidden="false" customHeight="false" outlineLevel="0" collapsed="false">
      <c r="A483" s="5" t="n">
        <v>670</v>
      </c>
      <c r="B483" s="6" t="s">
        <v>1753</v>
      </c>
      <c r="C483" s="6" t="s">
        <v>12</v>
      </c>
      <c r="D483" s="6" t="s">
        <v>1754</v>
      </c>
      <c r="E483" s="6" t="s">
        <v>14</v>
      </c>
      <c r="F483" s="6" t="n">
        <v>1011.46895226</v>
      </c>
      <c r="G483" s="6" t="n">
        <v>1011.469</v>
      </c>
      <c r="H483" s="6" t="s">
        <v>792</v>
      </c>
      <c r="I483" s="0" t="n">
        <v>0.4</v>
      </c>
      <c r="J483" s="0" t="n">
        <f aca="false">CONVERT(G483,"m^2","ha")</f>
        <v>0.1011469</v>
      </c>
      <c r="K483" s="0" t="b">
        <f aca="false">IF(J483&gt;(I483*2),((ROUNDDOWN(J483/I483,0))-1))</f>
        <v>0</v>
      </c>
    </row>
    <row r="484" customFormat="false" ht="12.75" hidden="false" customHeight="false" outlineLevel="0" collapsed="false">
      <c r="A484" s="5" t="n">
        <v>671</v>
      </c>
      <c r="B484" s="6" t="s">
        <v>1755</v>
      </c>
      <c r="C484" s="6" t="s">
        <v>12</v>
      </c>
      <c r="D484" s="6" t="s">
        <v>1756</v>
      </c>
      <c r="E484" s="6" t="s">
        <v>14</v>
      </c>
      <c r="F484" s="6" t="n">
        <v>1051.302292555</v>
      </c>
      <c r="G484" s="6" t="n">
        <v>1051.302</v>
      </c>
      <c r="H484" s="6" t="s">
        <v>792</v>
      </c>
      <c r="I484" s="0" t="n">
        <v>0.4</v>
      </c>
      <c r="J484" s="0" t="n">
        <f aca="false">CONVERT(G484,"m^2","ha")</f>
        <v>0.1051302</v>
      </c>
      <c r="K484" s="0" t="b">
        <f aca="false">IF(J484&gt;(I484*2),((ROUNDDOWN(J484/I484,0))-1))</f>
        <v>0</v>
      </c>
    </row>
    <row r="485" customFormat="false" ht="12.75" hidden="false" customHeight="false" outlineLevel="0" collapsed="false">
      <c r="A485" s="5" t="n">
        <v>672</v>
      </c>
      <c r="B485" s="6" t="s">
        <v>1757</v>
      </c>
      <c r="C485" s="6" t="s">
        <v>12</v>
      </c>
      <c r="D485" s="6" t="s">
        <v>1758</v>
      </c>
      <c r="E485" s="6" t="s">
        <v>14</v>
      </c>
      <c r="F485" s="6" t="n">
        <v>1862.089899925</v>
      </c>
      <c r="G485" s="6" t="n">
        <v>1862.09</v>
      </c>
      <c r="H485" s="6" t="s">
        <v>792</v>
      </c>
      <c r="I485" s="0" t="n">
        <v>0.4</v>
      </c>
      <c r="J485" s="0" t="n">
        <f aca="false">CONVERT(G485,"m^2","ha")</f>
        <v>0.186209</v>
      </c>
      <c r="K485" s="0" t="b">
        <f aca="false">IF(J485&gt;(I485*2),((ROUNDDOWN(J485/I485,0))-1))</f>
        <v>0</v>
      </c>
    </row>
    <row r="486" customFormat="false" ht="12.75" hidden="false" customHeight="false" outlineLevel="0" collapsed="false">
      <c r="A486" s="5" t="n">
        <v>673</v>
      </c>
      <c r="B486" s="6" t="s">
        <v>1759</v>
      </c>
      <c r="C486" s="6" t="s">
        <v>12</v>
      </c>
      <c r="D486" s="6" t="s">
        <v>1760</v>
      </c>
      <c r="E486" s="6" t="s">
        <v>14</v>
      </c>
      <c r="F486" s="6" t="n">
        <v>1022.605569675</v>
      </c>
      <c r="G486" s="6" t="n">
        <v>1022.606</v>
      </c>
      <c r="H486" s="6" t="s">
        <v>792</v>
      </c>
      <c r="I486" s="0" t="n">
        <v>0.4</v>
      </c>
      <c r="J486" s="0" t="n">
        <f aca="false">CONVERT(G486,"m^2","ha")</f>
        <v>0.1022606</v>
      </c>
      <c r="K486" s="0" t="b">
        <f aca="false">IF(J486&gt;(I486*2),((ROUNDDOWN(J486/I486,0))-1))</f>
        <v>0</v>
      </c>
    </row>
    <row r="487" customFormat="false" ht="12.75" hidden="false" customHeight="false" outlineLevel="0" collapsed="false">
      <c r="A487" s="5" t="n">
        <v>674</v>
      </c>
      <c r="B487" s="6" t="s">
        <v>1761</v>
      </c>
      <c r="C487" s="6" t="s">
        <v>12</v>
      </c>
      <c r="D487" s="6" t="s">
        <v>1762</v>
      </c>
      <c r="E487" s="6" t="s">
        <v>14</v>
      </c>
      <c r="F487" s="6" t="n">
        <v>1577.948875645</v>
      </c>
      <c r="G487" s="6" t="n">
        <v>1577.949</v>
      </c>
      <c r="H487" s="6" t="s">
        <v>792</v>
      </c>
      <c r="I487" s="0" t="n">
        <v>0.4</v>
      </c>
      <c r="J487" s="0" t="n">
        <f aca="false">CONVERT(G487,"m^2","ha")</f>
        <v>0.1577949</v>
      </c>
      <c r="K487" s="0" t="b">
        <f aca="false">IF(J487&gt;(I487*2),((ROUNDDOWN(J487/I487,0))-1))</f>
        <v>0</v>
      </c>
    </row>
    <row r="488" customFormat="false" ht="12.75" hidden="false" customHeight="false" outlineLevel="0" collapsed="false">
      <c r="A488" s="5" t="n">
        <v>675</v>
      </c>
      <c r="B488" s="6" t="s">
        <v>1763</v>
      </c>
      <c r="C488" s="6" t="s">
        <v>12</v>
      </c>
      <c r="D488" s="6" t="s">
        <v>1764</v>
      </c>
      <c r="E488" s="6" t="s">
        <v>14</v>
      </c>
      <c r="F488" s="6" t="n">
        <v>2035.164735085</v>
      </c>
      <c r="G488" s="6" t="n">
        <v>2035.165</v>
      </c>
      <c r="H488" s="6" t="s">
        <v>792</v>
      </c>
      <c r="I488" s="0" t="n">
        <v>0.4</v>
      </c>
      <c r="J488" s="0" t="n">
        <f aca="false">CONVERT(G488,"m^2","ha")</f>
        <v>0.2035165</v>
      </c>
      <c r="K488" s="0" t="b">
        <f aca="false">IF(J488&gt;(I488*2),((ROUNDDOWN(J488/I488,0))-1))</f>
        <v>0</v>
      </c>
    </row>
    <row r="489" customFormat="false" ht="12.75" hidden="false" customHeight="false" outlineLevel="0" collapsed="false">
      <c r="A489" s="5" t="n">
        <v>676</v>
      </c>
      <c r="B489" s="6" t="s">
        <v>1765</v>
      </c>
      <c r="C489" s="6" t="s">
        <v>12</v>
      </c>
      <c r="D489" s="6" t="s">
        <v>1766</v>
      </c>
      <c r="E489" s="6" t="s">
        <v>14</v>
      </c>
      <c r="F489" s="6" t="n">
        <v>766.961993665</v>
      </c>
      <c r="G489" s="6" t="n">
        <v>766.962</v>
      </c>
      <c r="H489" s="6" t="s">
        <v>792</v>
      </c>
      <c r="I489" s="0" t="n">
        <v>0.4</v>
      </c>
      <c r="J489" s="0" t="n">
        <f aca="false">CONVERT(G489,"m^2","ha")</f>
        <v>0.0766962</v>
      </c>
      <c r="K489" s="0" t="b">
        <f aca="false">IF(J489&gt;(I489*2),((ROUNDDOWN(J489/I489,0))-1))</f>
        <v>0</v>
      </c>
    </row>
    <row r="490" customFormat="false" ht="12.75" hidden="false" customHeight="false" outlineLevel="0" collapsed="false">
      <c r="A490" s="5" t="n">
        <v>677</v>
      </c>
      <c r="B490" s="6" t="s">
        <v>1767</v>
      </c>
      <c r="C490" s="6" t="s">
        <v>12</v>
      </c>
      <c r="D490" s="6" t="s">
        <v>1768</v>
      </c>
      <c r="E490" s="6" t="s">
        <v>14</v>
      </c>
      <c r="F490" s="6" t="n">
        <v>1004.801233935</v>
      </c>
      <c r="G490" s="6" t="n">
        <v>1004.801</v>
      </c>
      <c r="H490" s="6" t="s">
        <v>792</v>
      </c>
      <c r="I490" s="0" t="n">
        <v>0.4</v>
      </c>
      <c r="J490" s="0" t="n">
        <f aca="false">CONVERT(G490,"m^2","ha")</f>
        <v>0.1004801</v>
      </c>
      <c r="K490" s="0" t="b">
        <f aca="false">IF(J490&gt;(I490*2),((ROUNDDOWN(J490/I490,0))-1))</f>
        <v>0</v>
      </c>
    </row>
    <row r="491" customFormat="false" ht="12.75" hidden="false" customHeight="false" outlineLevel="0" collapsed="false">
      <c r="A491" s="5" t="n">
        <v>678</v>
      </c>
      <c r="B491" s="6" t="s">
        <v>1769</v>
      </c>
      <c r="C491" s="6" t="s">
        <v>12</v>
      </c>
      <c r="D491" s="6" t="s">
        <v>1770</v>
      </c>
      <c r="E491" s="6" t="s">
        <v>14</v>
      </c>
      <c r="F491" s="6" t="n">
        <v>1973.71444068</v>
      </c>
      <c r="G491" s="6" t="n">
        <v>1973.714</v>
      </c>
      <c r="H491" s="6" t="s">
        <v>792</v>
      </c>
      <c r="I491" s="0" t="n">
        <v>0.4</v>
      </c>
      <c r="J491" s="0" t="n">
        <f aca="false">CONVERT(G491,"m^2","ha")</f>
        <v>0.1973714</v>
      </c>
      <c r="K491" s="0" t="b">
        <f aca="false">IF(J491&gt;(I491*2),((ROUNDDOWN(J491/I491,0))-1))</f>
        <v>0</v>
      </c>
    </row>
    <row r="492" customFormat="false" ht="12.75" hidden="false" customHeight="false" outlineLevel="0" collapsed="false">
      <c r="A492" s="5" t="n">
        <v>679</v>
      </c>
      <c r="B492" s="6" t="s">
        <v>1771</v>
      </c>
      <c r="C492" s="6" t="s">
        <v>12</v>
      </c>
      <c r="D492" s="6" t="s">
        <v>1772</v>
      </c>
      <c r="E492" s="6" t="s">
        <v>14</v>
      </c>
      <c r="F492" s="6" t="n">
        <v>803.737</v>
      </c>
      <c r="G492" s="6" t="n">
        <v>803.737</v>
      </c>
      <c r="H492" s="6" t="s">
        <v>792</v>
      </c>
      <c r="I492" s="0" t="n">
        <v>0.4</v>
      </c>
      <c r="J492" s="0" t="n">
        <f aca="false">CONVERT(G492,"m^2","ha")</f>
        <v>0.0803737</v>
      </c>
      <c r="K492" s="0" t="b">
        <f aca="false">IF(J492&gt;(I492*2),((ROUNDDOWN(J492/I492,0))-1))</f>
        <v>0</v>
      </c>
    </row>
    <row r="493" customFormat="false" ht="12.75" hidden="false" customHeight="false" outlineLevel="0" collapsed="false">
      <c r="A493" s="5" t="n">
        <v>680</v>
      </c>
      <c r="B493" s="6" t="s">
        <v>1773</v>
      </c>
      <c r="C493" s="6" t="s">
        <v>12</v>
      </c>
      <c r="D493" s="6" t="s">
        <v>1774</v>
      </c>
      <c r="E493" s="6" t="s">
        <v>14</v>
      </c>
      <c r="F493" s="6" t="n">
        <v>1025.094337145</v>
      </c>
      <c r="G493" s="6" t="n">
        <v>1025.094</v>
      </c>
      <c r="H493" s="6" t="s">
        <v>792</v>
      </c>
      <c r="I493" s="0" t="n">
        <v>0.4</v>
      </c>
      <c r="J493" s="0" t="n">
        <f aca="false">CONVERT(G493,"m^2","ha")</f>
        <v>0.1025094</v>
      </c>
      <c r="K493" s="0" t="b">
        <f aca="false">IF(J493&gt;(I493*2),((ROUNDDOWN(J493/I493,0))-1))</f>
        <v>0</v>
      </c>
    </row>
    <row r="494" customFormat="false" ht="12.75" hidden="false" customHeight="false" outlineLevel="0" collapsed="false">
      <c r="A494" s="5" t="n">
        <v>681</v>
      </c>
      <c r="B494" s="6" t="s">
        <v>1775</v>
      </c>
      <c r="C494" s="6" t="s">
        <v>12</v>
      </c>
      <c r="D494" s="6" t="s">
        <v>1776</v>
      </c>
      <c r="E494" s="6" t="s">
        <v>14</v>
      </c>
      <c r="F494" s="6" t="n">
        <v>1849.30036539</v>
      </c>
      <c r="G494" s="6" t="n">
        <v>1849.3</v>
      </c>
      <c r="H494" s="6" t="s">
        <v>792</v>
      </c>
      <c r="I494" s="0" t="n">
        <v>0.4</v>
      </c>
      <c r="J494" s="0" t="n">
        <f aca="false">CONVERT(G494,"m^2","ha")</f>
        <v>0.18493</v>
      </c>
      <c r="K494" s="0" t="b">
        <f aca="false">IF(J494&gt;(I494*2),((ROUNDDOWN(J494/I494,0))-1))</f>
        <v>0</v>
      </c>
    </row>
    <row r="495" customFormat="false" ht="12.75" hidden="false" customHeight="false" outlineLevel="0" collapsed="false">
      <c r="A495" s="5" t="n">
        <v>682</v>
      </c>
      <c r="B495" s="6" t="s">
        <v>1777</v>
      </c>
      <c r="C495" s="6" t="s">
        <v>12</v>
      </c>
      <c r="D495" s="6" t="s">
        <v>1778</v>
      </c>
      <c r="E495" s="6" t="s">
        <v>14</v>
      </c>
      <c r="F495" s="6" t="n">
        <v>1022.713205905</v>
      </c>
      <c r="G495" s="6" t="n">
        <v>1022.713</v>
      </c>
      <c r="H495" s="6" t="s">
        <v>792</v>
      </c>
      <c r="I495" s="0" t="n">
        <v>0.4</v>
      </c>
      <c r="J495" s="0" t="n">
        <f aca="false">CONVERT(G495,"m^2","ha")</f>
        <v>0.1022713</v>
      </c>
      <c r="K495" s="0" t="b">
        <f aca="false">IF(J495&gt;(I495*2),((ROUNDDOWN(J495/I495,0))-1))</f>
        <v>0</v>
      </c>
    </row>
    <row r="496" customFormat="false" ht="12.75" hidden="false" customHeight="false" outlineLevel="0" collapsed="false">
      <c r="A496" s="5" t="n">
        <v>683</v>
      </c>
      <c r="B496" s="6" t="s">
        <v>1779</v>
      </c>
      <c r="C496" s="6" t="s">
        <v>12</v>
      </c>
      <c r="D496" s="6" t="s">
        <v>1780</v>
      </c>
      <c r="E496" s="6" t="s">
        <v>14</v>
      </c>
      <c r="F496" s="6" t="n">
        <v>1025.88998979</v>
      </c>
      <c r="G496" s="6" t="n">
        <v>1025.89</v>
      </c>
      <c r="H496" s="6" t="s">
        <v>792</v>
      </c>
      <c r="I496" s="0" t="n">
        <v>0.4</v>
      </c>
      <c r="J496" s="0" t="n">
        <f aca="false">CONVERT(G496,"m^2","ha")</f>
        <v>0.102589</v>
      </c>
      <c r="K496" s="0" t="b">
        <f aca="false">IF(J496&gt;(I496*2),((ROUNDDOWN(J496/I496,0))-1))</f>
        <v>0</v>
      </c>
    </row>
    <row r="497" customFormat="false" ht="12.75" hidden="false" customHeight="false" outlineLevel="0" collapsed="false">
      <c r="A497" s="5" t="n">
        <v>684</v>
      </c>
      <c r="B497" s="6" t="s">
        <v>1781</v>
      </c>
      <c r="C497" s="6" t="s">
        <v>12</v>
      </c>
      <c r="D497" s="6" t="s">
        <v>1782</v>
      </c>
      <c r="E497" s="6" t="s">
        <v>14</v>
      </c>
      <c r="F497" s="6" t="n">
        <v>1828.44319458</v>
      </c>
      <c r="G497" s="6" t="n">
        <v>1828.443</v>
      </c>
      <c r="H497" s="6" t="s">
        <v>792</v>
      </c>
      <c r="I497" s="0" t="n">
        <v>0.4</v>
      </c>
      <c r="J497" s="0" t="n">
        <f aca="false">CONVERT(G497,"m^2","ha")</f>
        <v>0.1828443</v>
      </c>
      <c r="K497" s="0" t="b">
        <f aca="false">IF(J497&gt;(I497*2),((ROUNDDOWN(J497/I497,0))-1))</f>
        <v>0</v>
      </c>
    </row>
    <row r="498" customFormat="false" ht="12.75" hidden="false" customHeight="false" outlineLevel="0" collapsed="false">
      <c r="A498" s="5" t="n">
        <v>685</v>
      </c>
      <c r="B498" s="6" t="s">
        <v>1783</v>
      </c>
      <c r="C498" s="6" t="s">
        <v>12</v>
      </c>
      <c r="D498" s="6" t="s">
        <v>1784</v>
      </c>
      <c r="E498" s="6" t="s">
        <v>14</v>
      </c>
      <c r="F498" s="6" t="n">
        <v>1026.68501823</v>
      </c>
      <c r="G498" s="6" t="n">
        <v>1026.685</v>
      </c>
      <c r="H498" s="6" t="s">
        <v>792</v>
      </c>
      <c r="I498" s="0" t="n">
        <v>0.4</v>
      </c>
      <c r="J498" s="0" t="n">
        <f aca="false">CONVERT(G498,"m^2","ha")</f>
        <v>0.1026685</v>
      </c>
      <c r="K498" s="0" t="b">
        <f aca="false">IF(J498&gt;(I498*2),((ROUNDDOWN(J498/I498,0))-1))</f>
        <v>0</v>
      </c>
    </row>
    <row r="499" customFormat="false" ht="12.75" hidden="false" customHeight="false" outlineLevel="0" collapsed="false">
      <c r="A499" s="5" t="n">
        <v>686</v>
      </c>
      <c r="B499" s="6" t="s">
        <v>1785</v>
      </c>
      <c r="C499" s="6" t="s">
        <v>12</v>
      </c>
      <c r="D499" s="6" t="s">
        <v>1786</v>
      </c>
      <c r="E499" s="6" t="s">
        <v>14</v>
      </c>
      <c r="F499" s="6" t="n">
        <v>1930.286059495</v>
      </c>
      <c r="G499" s="6" t="n">
        <v>1930.286</v>
      </c>
      <c r="H499" s="6" t="s">
        <v>792</v>
      </c>
      <c r="I499" s="0" t="n">
        <v>0.4</v>
      </c>
      <c r="J499" s="0" t="n">
        <f aca="false">CONVERT(G499,"m^2","ha")</f>
        <v>0.1930286</v>
      </c>
      <c r="K499" s="0" t="b">
        <f aca="false">IF(J499&gt;(I499*2),((ROUNDDOWN(J499/I499,0))-1))</f>
        <v>0</v>
      </c>
    </row>
    <row r="500" customFormat="false" ht="12.75" hidden="false" customHeight="false" outlineLevel="0" collapsed="false">
      <c r="A500" s="5" t="n">
        <v>687</v>
      </c>
      <c r="B500" s="6" t="s">
        <v>1787</v>
      </c>
      <c r="C500" s="6" t="s">
        <v>12</v>
      </c>
      <c r="D500" s="6" t="s">
        <v>1788</v>
      </c>
      <c r="E500" s="6" t="s">
        <v>14</v>
      </c>
      <c r="F500" s="6" t="n">
        <v>1038.20571136</v>
      </c>
      <c r="G500" s="6" t="n">
        <v>1038.206</v>
      </c>
      <c r="H500" s="6" t="s">
        <v>792</v>
      </c>
      <c r="I500" s="0" t="n">
        <v>0.4</v>
      </c>
      <c r="J500" s="0" t="n">
        <f aca="false">CONVERT(G500,"m^2","ha")</f>
        <v>0.1038206</v>
      </c>
      <c r="K500" s="0" t="b">
        <f aca="false">IF(J500&gt;(I500*2),((ROUNDDOWN(J500/I500,0))-1))</f>
        <v>0</v>
      </c>
    </row>
    <row r="501" customFormat="false" ht="12.75" hidden="false" customHeight="false" outlineLevel="0" collapsed="false">
      <c r="A501" s="5" t="n">
        <v>688</v>
      </c>
      <c r="B501" s="6" t="s">
        <v>1789</v>
      </c>
      <c r="C501" s="6" t="s">
        <v>12</v>
      </c>
      <c r="D501" s="6" t="s">
        <v>1790</v>
      </c>
      <c r="E501" s="6" t="s">
        <v>14</v>
      </c>
      <c r="F501" s="6" t="n">
        <v>971.33757522</v>
      </c>
      <c r="G501" s="6" t="n">
        <v>971.338</v>
      </c>
      <c r="H501" s="6" t="s">
        <v>792</v>
      </c>
      <c r="I501" s="0" t="n">
        <v>0.4</v>
      </c>
      <c r="J501" s="0" t="n">
        <f aca="false">CONVERT(G501,"m^2","ha")</f>
        <v>0.0971338</v>
      </c>
      <c r="K501" s="0" t="b">
        <f aca="false">IF(J501&gt;(I501*2),((ROUNDDOWN(J501/I501,0))-1))</f>
        <v>0</v>
      </c>
    </row>
    <row r="502" customFormat="false" ht="12.75" hidden="false" customHeight="false" outlineLevel="0" collapsed="false">
      <c r="A502" s="5" t="n">
        <v>689</v>
      </c>
      <c r="B502" s="6" t="s">
        <v>1791</v>
      </c>
      <c r="C502" s="6" t="s">
        <v>12</v>
      </c>
      <c r="D502" s="6" t="s">
        <v>1792</v>
      </c>
      <c r="E502" s="6" t="s">
        <v>14</v>
      </c>
      <c r="F502" s="6" t="n">
        <v>1873.144984705</v>
      </c>
      <c r="G502" s="6" t="n">
        <v>1873.145</v>
      </c>
      <c r="H502" s="6" t="s">
        <v>792</v>
      </c>
      <c r="I502" s="0" t="n">
        <v>0.4</v>
      </c>
      <c r="J502" s="0" t="n">
        <f aca="false">CONVERT(G502,"m^2","ha")</f>
        <v>0.1873145</v>
      </c>
      <c r="K502" s="0" t="b">
        <f aca="false">IF(J502&gt;(I502*2),((ROUNDDOWN(J502/I502,0))-1))</f>
        <v>0</v>
      </c>
    </row>
    <row r="503" customFormat="false" ht="12.75" hidden="false" customHeight="false" outlineLevel="0" collapsed="false">
      <c r="A503" s="5" t="n">
        <v>690</v>
      </c>
      <c r="B503" s="6" t="s">
        <v>1793</v>
      </c>
      <c r="C503" s="6" t="s">
        <v>12</v>
      </c>
      <c r="D503" s="6" t="s">
        <v>1794</v>
      </c>
      <c r="E503" s="6" t="s">
        <v>14</v>
      </c>
      <c r="F503" s="6" t="n">
        <v>964.136567115</v>
      </c>
      <c r="G503" s="6" t="n">
        <v>964.137</v>
      </c>
      <c r="H503" s="6" t="s">
        <v>792</v>
      </c>
      <c r="I503" s="0" t="n">
        <v>0.4</v>
      </c>
      <c r="J503" s="0" t="n">
        <f aca="false">CONVERT(G503,"m^2","ha")</f>
        <v>0.0964137</v>
      </c>
      <c r="K503" s="0" t="b">
        <f aca="false">IF(J503&gt;(I503*2),((ROUNDDOWN(J503/I503,0))-1))</f>
        <v>0</v>
      </c>
    </row>
    <row r="504" customFormat="false" ht="12.75" hidden="false" customHeight="false" outlineLevel="0" collapsed="false">
      <c r="A504" s="5" t="n">
        <v>691</v>
      </c>
      <c r="B504" s="6" t="s">
        <v>1795</v>
      </c>
      <c r="C504" s="6" t="s">
        <v>12</v>
      </c>
      <c r="D504" s="6" t="s">
        <v>1796</v>
      </c>
      <c r="E504" s="6" t="s">
        <v>14</v>
      </c>
      <c r="F504" s="6" t="n">
        <v>777.80454884</v>
      </c>
      <c r="G504" s="6" t="n">
        <v>777.805</v>
      </c>
      <c r="H504" s="6" t="s">
        <v>792</v>
      </c>
      <c r="I504" s="0" t="n">
        <v>0.4</v>
      </c>
      <c r="J504" s="0" t="n">
        <f aca="false">CONVERT(G504,"m^2","ha")</f>
        <v>0.0777805</v>
      </c>
      <c r="K504" s="0" t="b">
        <f aca="false">IF(J504&gt;(I504*2),((ROUNDDOWN(J504/I504,0))-1))</f>
        <v>0</v>
      </c>
    </row>
    <row r="505" customFormat="false" ht="12.75" hidden="false" customHeight="false" outlineLevel="0" collapsed="false">
      <c r="A505" s="5" t="n">
        <v>692</v>
      </c>
      <c r="B505" s="6" t="s">
        <v>1797</v>
      </c>
      <c r="C505" s="6" t="s">
        <v>12</v>
      </c>
      <c r="D505" s="6" t="s">
        <v>1798</v>
      </c>
      <c r="E505" s="6" t="s">
        <v>14</v>
      </c>
      <c r="F505" s="6" t="n">
        <v>1037.744198325</v>
      </c>
      <c r="G505" s="6" t="n">
        <v>1037.744</v>
      </c>
      <c r="H505" s="6" t="s">
        <v>792</v>
      </c>
      <c r="I505" s="0" t="n">
        <v>0.4</v>
      </c>
      <c r="J505" s="0" t="n">
        <f aca="false">CONVERT(G505,"m^2","ha")</f>
        <v>0.1037744</v>
      </c>
      <c r="K505" s="0" t="b">
        <f aca="false">IF(J505&gt;(I505*2),((ROUNDDOWN(J505/I505,0))-1))</f>
        <v>0</v>
      </c>
    </row>
    <row r="506" customFormat="false" ht="12.75" hidden="false" customHeight="false" outlineLevel="0" collapsed="false">
      <c r="A506" s="5" t="n">
        <v>693</v>
      </c>
      <c r="B506" s="6" t="s">
        <v>1799</v>
      </c>
      <c r="C506" s="6" t="s">
        <v>12</v>
      </c>
      <c r="D506" s="6" t="s">
        <v>1800</v>
      </c>
      <c r="E506" s="6" t="s">
        <v>14</v>
      </c>
      <c r="F506" s="6" t="n">
        <v>1016.41383251</v>
      </c>
      <c r="G506" s="6" t="n">
        <v>1016.414</v>
      </c>
      <c r="H506" s="6" t="s">
        <v>792</v>
      </c>
      <c r="I506" s="0" t="n">
        <v>0.4</v>
      </c>
      <c r="J506" s="0" t="n">
        <f aca="false">CONVERT(G506,"m^2","ha")</f>
        <v>0.1016414</v>
      </c>
      <c r="K506" s="0" t="b">
        <f aca="false">IF(J506&gt;(I506*2),((ROUNDDOWN(J506/I506,0))-1))</f>
        <v>0</v>
      </c>
    </row>
    <row r="507" customFormat="false" ht="12.75" hidden="false" customHeight="false" outlineLevel="0" collapsed="false">
      <c r="A507" s="5" t="n">
        <v>694</v>
      </c>
      <c r="B507" s="6" t="s">
        <v>1801</v>
      </c>
      <c r="C507" s="6" t="s">
        <v>12</v>
      </c>
      <c r="D507" s="6" t="s">
        <v>1802</v>
      </c>
      <c r="E507" s="6" t="s">
        <v>14</v>
      </c>
      <c r="F507" s="6" t="n">
        <v>1994.47848314</v>
      </c>
      <c r="G507" s="6" t="n">
        <v>1994.478</v>
      </c>
      <c r="H507" s="6" t="s">
        <v>792</v>
      </c>
      <c r="I507" s="0" t="n">
        <v>0.4</v>
      </c>
      <c r="J507" s="0" t="n">
        <f aca="false">CONVERT(G507,"m^2","ha")</f>
        <v>0.1994478</v>
      </c>
      <c r="K507" s="0" t="b">
        <f aca="false">IF(J507&gt;(I507*2),((ROUNDDOWN(J507/I507,0))-1))</f>
        <v>0</v>
      </c>
    </row>
    <row r="508" customFormat="false" ht="12.75" hidden="false" customHeight="false" outlineLevel="0" collapsed="false">
      <c r="A508" s="5" t="n">
        <v>695</v>
      </c>
      <c r="B508" s="6" t="s">
        <v>1803</v>
      </c>
      <c r="C508" s="6" t="s">
        <v>12</v>
      </c>
      <c r="D508" s="6" t="s">
        <v>1804</v>
      </c>
      <c r="E508" s="6" t="s">
        <v>14</v>
      </c>
      <c r="F508" s="6" t="n">
        <v>1970.262577545</v>
      </c>
      <c r="G508" s="6" t="n">
        <v>1970.263</v>
      </c>
      <c r="H508" s="6" t="s">
        <v>792</v>
      </c>
      <c r="I508" s="0" t="n">
        <v>0.4</v>
      </c>
      <c r="J508" s="0" t="n">
        <f aca="false">CONVERT(G508,"m^2","ha")</f>
        <v>0.1970263</v>
      </c>
      <c r="K508" s="0" t="b">
        <f aca="false">IF(J508&gt;(I508*2),((ROUNDDOWN(J508/I508,0))-1))</f>
        <v>0</v>
      </c>
    </row>
    <row r="509" customFormat="false" ht="12.75" hidden="false" customHeight="false" outlineLevel="0" collapsed="false">
      <c r="A509" s="5" t="n">
        <v>696</v>
      </c>
      <c r="B509" s="6" t="s">
        <v>1805</v>
      </c>
      <c r="C509" s="6" t="s">
        <v>12</v>
      </c>
      <c r="D509" s="6" t="s">
        <v>1806</v>
      </c>
      <c r="E509" s="6" t="s">
        <v>14</v>
      </c>
      <c r="F509" s="6" t="n">
        <v>1033.639814995</v>
      </c>
      <c r="G509" s="6" t="n">
        <v>1033.64</v>
      </c>
      <c r="H509" s="6" t="s">
        <v>792</v>
      </c>
      <c r="I509" s="0" t="n">
        <v>0.4</v>
      </c>
      <c r="J509" s="0" t="n">
        <f aca="false">CONVERT(G509,"m^2","ha")</f>
        <v>0.103364</v>
      </c>
      <c r="K509" s="0" t="b">
        <f aca="false">IF(J509&gt;(I509*2),((ROUNDDOWN(J509/I509,0))-1))</f>
        <v>0</v>
      </c>
    </row>
    <row r="510" customFormat="false" ht="12.75" hidden="false" customHeight="false" outlineLevel="0" collapsed="false">
      <c r="A510" s="5" t="n">
        <v>697</v>
      </c>
      <c r="B510" s="6" t="s">
        <v>1807</v>
      </c>
      <c r="C510" s="6" t="s">
        <v>12</v>
      </c>
      <c r="D510" s="6" t="s">
        <v>1808</v>
      </c>
      <c r="E510" s="6" t="s">
        <v>14</v>
      </c>
      <c r="F510" s="6" t="n">
        <v>1051.679653575</v>
      </c>
      <c r="G510" s="6" t="n">
        <v>1051.68</v>
      </c>
      <c r="H510" s="6" t="s">
        <v>792</v>
      </c>
      <c r="I510" s="0" t="n">
        <v>0.4</v>
      </c>
      <c r="J510" s="0" t="n">
        <f aca="false">CONVERT(G510,"m^2","ha")</f>
        <v>0.105168</v>
      </c>
      <c r="K510" s="0" t="b">
        <f aca="false">IF(J510&gt;(I510*2),((ROUNDDOWN(J510/I510,0))-1))</f>
        <v>0</v>
      </c>
    </row>
    <row r="511" customFormat="false" ht="12.75" hidden="false" customHeight="false" outlineLevel="0" collapsed="false">
      <c r="A511" s="5" t="n">
        <v>698</v>
      </c>
      <c r="B511" s="6" t="s">
        <v>1809</v>
      </c>
      <c r="C511" s="6" t="s">
        <v>12</v>
      </c>
      <c r="D511" s="6" t="s">
        <v>1810</v>
      </c>
      <c r="E511" s="6" t="s">
        <v>14</v>
      </c>
      <c r="F511" s="6" t="n">
        <v>1036.31696548</v>
      </c>
      <c r="G511" s="6" t="n">
        <v>1036.317</v>
      </c>
      <c r="H511" s="6" t="s">
        <v>792</v>
      </c>
      <c r="I511" s="0" t="n">
        <v>0.4</v>
      </c>
      <c r="J511" s="0" t="n">
        <f aca="false">CONVERT(G511,"m^2","ha")</f>
        <v>0.1036317</v>
      </c>
      <c r="K511" s="0" t="b">
        <f aca="false">IF(J511&gt;(I511*2),((ROUNDDOWN(J511/I511,0))-1))</f>
        <v>0</v>
      </c>
    </row>
    <row r="512" customFormat="false" ht="12.75" hidden="false" customHeight="false" outlineLevel="0" collapsed="false">
      <c r="A512" s="5" t="n">
        <v>699</v>
      </c>
      <c r="B512" s="6" t="s">
        <v>1811</v>
      </c>
      <c r="C512" s="6" t="s">
        <v>12</v>
      </c>
      <c r="D512" s="6" t="s">
        <v>1812</v>
      </c>
      <c r="E512" s="6" t="s">
        <v>14</v>
      </c>
      <c r="F512" s="6" t="n">
        <v>956.574089395</v>
      </c>
      <c r="G512" s="6" t="n">
        <v>956.574</v>
      </c>
      <c r="H512" s="6" t="s">
        <v>792</v>
      </c>
      <c r="I512" s="0" t="n">
        <v>0.4</v>
      </c>
      <c r="J512" s="0" t="n">
        <f aca="false">CONVERT(G512,"m^2","ha")</f>
        <v>0.0956574</v>
      </c>
      <c r="K512" s="0" t="b">
        <f aca="false">IF(J512&gt;(I512*2),((ROUNDDOWN(J512/I512,0))-1))</f>
        <v>0</v>
      </c>
    </row>
    <row r="513" customFormat="false" ht="12.75" hidden="false" customHeight="false" outlineLevel="0" collapsed="false">
      <c r="A513" s="5" t="n">
        <v>700</v>
      </c>
      <c r="B513" s="6" t="s">
        <v>1813</v>
      </c>
      <c r="C513" s="6" t="s">
        <v>12</v>
      </c>
      <c r="D513" s="6" t="s">
        <v>1814</v>
      </c>
      <c r="E513" s="6" t="s">
        <v>14</v>
      </c>
      <c r="F513" s="6" t="n">
        <v>1985.786375965</v>
      </c>
      <c r="G513" s="6" t="n">
        <v>1985.786</v>
      </c>
      <c r="H513" s="6" t="s">
        <v>792</v>
      </c>
      <c r="I513" s="0" t="n">
        <v>0.4</v>
      </c>
      <c r="J513" s="0" t="n">
        <f aca="false">CONVERT(G513,"m^2","ha")</f>
        <v>0.1985786</v>
      </c>
      <c r="K513" s="0" t="b">
        <f aca="false">IF(J513&gt;(I513*2),((ROUNDDOWN(J513/I513,0))-1))</f>
        <v>0</v>
      </c>
    </row>
    <row r="514" customFormat="false" ht="12.75" hidden="false" customHeight="false" outlineLevel="0" collapsed="false">
      <c r="A514" s="5" t="n">
        <v>701</v>
      </c>
      <c r="B514" s="6" t="s">
        <v>1815</v>
      </c>
      <c r="C514" s="6" t="s">
        <v>12</v>
      </c>
      <c r="D514" s="6" t="s">
        <v>1816</v>
      </c>
      <c r="E514" s="6" t="s">
        <v>14</v>
      </c>
      <c r="F514" s="6" t="n">
        <v>857.26685177</v>
      </c>
      <c r="G514" s="6" t="n">
        <v>857.267</v>
      </c>
      <c r="H514" s="6" t="s">
        <v>792</v>
      </c>
      <c r="I514" s="0" t="n">
        <v>0.4</v>
      </c>
      <c r="J514" s="0" t="n">
        <f aca="false">CONVERT(G514,"m^2","ha")</f>
        <v>0.0857267</v>
      </c>
      <c r="K514" s="0" t="b">
        <f aca="false">IF(J514&gt;(I514*2),((ROUNDDOWN(J514/I514,0))-1))</f>
        <v>0</v>
      </c>
    </row>
    <row r="515" customFormat="false" ht="12.75" hidden="false" customHeight="false" outlineLevel="0" collapsed="false">
      <c r="A515" s="5" t="n">
        <v>702</v>
      </c>
      <c r="B515" s="6" t="s">
        <v>1817</v>
      </c>
      <c r="C515" s="6" t="s">
        <v>12</v>
      </c>
      <c r="D515" s="6" t="s">
        <v>1818</v>
      </c>
      <c r="E515" s="6" t="s">
        <v>14</v>
      </c>
      <c r="F515" s="6" t="n">
        <v>2040.65595491</v>
      </c>
      <c r="G515" s="6" t="n">
        <v>2040.656</v>
      </c>
      <c r="H515" s="6" t="s">
        <v>792</v>
      </c>
      <c r="I515" s="0" t="n">
        <v>0.4</v>
      </c>
      <c r="J515" s="0" t="n">
        <f aca="false">CONVERT(G515,"m^2","ha")</f>
        <v>0.2040656</v>
      </c>
      <c r="K515" s="0" t="b">
        <f aca="false">IF(J515&gt;(I515*2),((ROUNDDOWN(J515/I515,0))-1))</f>
        <v>0</v>
      </c>
    </row>
    <row r="516" customFormat="false" ht="12.75" hidden="false" customHeight="false" outlineLevel="0" collapsed="false">
      <c r="A516" s="5" t="n">
        <v>703</v>
      </c>
      <c r="B516" s="6" t="s">
        <v>1819</v>
      </c>
      <c r="C516" s="6" t="s">
        <v>12</v>
      </c>
      <c r="D516" s="6" t="s">
        <v>1820</v>
      </c>
      <c r="E516" s="6" t="s">
        <v>14</v>
      </c>
      <c r="F516" s="6" t="n">
        <v>786.75759093</v>
      </c>
      <c r="G516" s="6" t="n">
        <v>786.758</v>
      </c>
      <c r="H516" s="6" t="s">
        <v>792</v>
      </c>
      <c r="I516" s="0" t="n">
        <v>0.4</v>
      </c>
      <c r="J516" s="0" t="n">
        <f aca="false">CONVERT(G516,"m^2","ha")</f>
        <v>0.0786758</v>
      </c>
      <c r="K516" s="0" t="b">
        <f aca="false">IF(J516&gt;(I516*2),((ROUNDDOWN(J516/I516,0))-1))</f>
        <v>0</v>
      </c>
    </row>
    <row r="517" customFormat="false" ht="12.75" hidden="false" customHeight="false" outlineLevel="0" collapsed="false">
      <c r="A517" s="5" t="n">
        <v>704</v>
      </c>
      <c r="B517" s="6" t="s">
        <v>1821</v>
      </c>
      <c r="C517" s="6" t="s">
        <v>12</v>
      </c>
      <c r="D517" s="6" t="s">
        <v>1822</v>
      </c>
      <c r="E517" s="6" t="s">
        <v>14</v>
      </c>
      <c r="F517" s="6" t="n">
        <v>1665.058484975</v>
      </c>
      <c r="G517" s="6" t="n">
        <v>1665.058</v>
      </c>
      <c r="H517" s="6" t="s">
        <v>792</v>
      </c>
      <c r="I517" s="0" t="n">
        <v>0.4</v>
      </c>
      <c r="J517" s="0" t="n">
        <f aca="false">CONVERT(G517,"m^2","ha")</f>
        <v>0.1665058</v>
      </c>
      <c r="K517" s="0" t="b">
        <f aca="false">IF(J517&gt;(I517*2),((ROUNDDOWN(J517/I517,0))-1))</f>
        <v>0</v>
      </c>
    </row>
    <row r="518" customFormat="false" ht="12.75" hidden="false" customHeight="false" outlineLevel="0" collapsed="false">
      <c r="A518" s="5" t="n">
        <v>705</v>
      </c>
      <c r="B518" s="6" t="s">
        <v>1823</v>
      </c>
      <c r="C518" s="6" t="s">
        <v>12</v>
      </c>
      <c r="D518" s="6" t="s">
        <v>1824</v>
      </c>
      <c r="E518" s="6" t="s">
        <v>14</v>
      </c>
      <c r="F518" s="6" t="n">
        <v>1035.54862283</v>
      </c>
      <c r="G518" s="6" t="n">
        <v>1035.549</v>
      </c>
      <c r="H518" s="6" t="s">
        <v>792</v>
      </c>
      <c r="I518" s="0" t="n">
        <v>0.4</v>
      </c>
      <c r="J518" s="0" t="n">
        <f aca="false">CONVERT(G518,"m^2","ha")</f>
        <v>0.1035549</v>
      </c>
      <c r="K518" s="0" t="b">
        <f aca="false">IF(J518&gt;(I518*2),((ROUNDDOWN(J518/I518,0))-1))</f>
        <v>0</v>
      </c>
    </row>
    <row r="519" customFormat="false" ht="12.75" hidden="false" customHeight="false" outlineLevel="0" collapsed="false">
      <c r="A519" s="5" t="n">
        <v>706</v>
      </c>
      <c r="B519" s="6" t="s">
        <v>1825</v>
      </c>
      <c r="C519" s="6" t="s">
        <v>12</v>
      </c>
      <c r="D519" s="6" t="s">
        <v>1826</v>
      </c>
      <c r="E519" s="6" t="s">
        <v>14</v>
      </c>
      <c r="F519" s="6" t="n">
        <v>2085.18833208</v>
      </c>
      <c r="G519" s="6" t="n">
        <v>2085.188</v>
      </c>
      <c r="H519" s="6" t="s">
        <v>792</v>
      </c>
      <c r="I519" s="0" t="n">
        <v>0.4</v>
      </c>
      <c r="J519" s="0" t="n">
        <f aca="false">CONVERT(G519,"m^2","ha")</f>
        <v>0.2085188</v>
      </c>
      <c r="K519" s="0" t="b">
        <f aca="false">IF(J519&gt;(I519*2),((ROUNDDOWN(J519/I519,0))-1))</f>
        <v>0</v>
      </c>
    </row>
    <row r="520" customFormat="false" ht="12.75" hidden="false" customHeight="false" outlineLevel="0" collapsed="false">
      <c r="A520" s="5" t="n">
        <v>707</v>
      </c>
      <c r="B520" s="6" t="s">
        <v>1827</v>
      </c>
      <c r="C520" s="6" t="s">
        <v>12</v>
      </c>
      <c r="D520" s="6" t="s">
        <v>1828</v>
      </c>
      <c r="E520" s="6" t="s">
        <v>14</v>
      </c>
      <c r="F520" s="6" t="n">
        <v>1874.12918485</v>
      </c>
      <c r="G520" s="6" t="n">
        <v>1874.129</v>
      </c>
      <c r="H520" s="6" t="s">
        <v>792</v>
      </c>
      <c r="I520" s="0" t="n">
        <v>0.4</v>
      </c>
      <c r="J520" s="0" t="n">
        <f aca="false">CONVERT(G520,"m^2","ha")</f>
        <v>0.1874129</v>
      </c>
      <c r="K520" s="0" t="b">
        <f aca="false">IF(J520&gt;(I520*2),((ROUNDDOWN(J520/I520,0))-1))</f>
        <v>0</v>
      </c>
    </row>
    <row r="521" customFormat="false" ht="12.75" hidden="false" customHeight="false" outlineLevel="0" collapsed="false">
      <c r="A521" s="5" t="n">
        <v>708</v>
      </c>
      <c r="B521" s="6" t="s">
        <v>1829</v>
      </c>
      <c r="C521" s="6" t="s">
        <v>12</v>
      </c>
      <c r="D521" s="6" t="s">
        <v>1830</v>
      </c>
      <c r="E521" s="6" t="s">
        <v>14</v>
      </c>
      <c r="F521" s="6" t="n">
        <v>1143.79001984</v>
      </c>
      <c r="G521" s="6" t="n">
        <v>1143.79</v>
      </c>
      <c r="H521" s="6" t="s">
        <v>792</v>
      </c>
      <c r="I521" s="0" t="n">
        <v>0.4</v>
      </c>
      <c r="J521" s="0" t="n">
        <f aca="false">CONVERT(G521,"m^2","ha")</f>
        <v>0.114379</v>
      </c>
      <c r="K521" s="0" t="b">
        <f aca="false">IF(J521&gt;(I521*2),((ROUNDDOWN(J521/I521,0))-1))</f>
        <v>0</v>
      </c>
    </row>
    <row r="522" customFormat="false" ht="12.75" hidden="false" customHeight="false" outlineLevel="0" collapsed="false">
      <c r="A522" s="5" t="n">
        <v>709</v>
      </c>
      <c r="B522" s="6" t="s">
        <v>1831</v>
      </c>
      <c r="C522" s="6" t="s">
        <v>12</v>
      </c>
      <c r="D522" s="6" t="s">
        <v>1832</v>
      </c>
      <c r="E522" s="6" t="s">
        <v>14</v>
      </c>
      <c r="F522" s="6" t="n">
        <v>1013.40528306</v>
      </c>
      <c r="G522" s="6" t="n">
        <v>1013.405</v>
      </c>
      <c r="H522" s="6" t="s">
        <v>792</v>
      </c>
      <c r="I522" s="0" t="n">
        <v>0.4</v>
      </c>
      <c r="J522" s="0" t="n">
        <f aca="false">CONVERT(G522,"m^2","ha")</f>
        <v>0.1013405</v>
      </c>
      <c r="K522" s="0" t="b">
        <f aca="false">IF(J522&gt;(I522*2),((ROUNDDOWN(J522/I522,0))-1))</f>
        <v>0</v>
      </c>
    </row>
    <row r="523" customFormat="false" ht="12.75" hidden="false" customHeight="false" outlineLevel="0" collapsed="false">
      <c r="A523" s="5" t="n">
        <v>710</v>
      </c>
      <c r="B523" s="6" t="s">
        <v>1833</v>
      </c>
      <c r="C523" s="6" t="s">
        <v>12</v>
      </c>
      <c r="D523" s="6" t="s">
        <v>1834</v>
      </c>
      <c r="E523" s="6" t="s">
        <v>14</v>
      </c>
      <c r="F523" s="6" t="n">
        <v>1030.351764275</v>
      </c>
      <c r="G523" s="6" t="n">
        <v>1030.352</v>
      </c>
      <c r="H523" s="6" t="s">
        <v>792</v>
      </c>
      <c r="I523" s="0" t="n">
        <v>0.4</v>
      </c>
      <c r="J523" s="0" t="n">
        <f aca="false">CONVERT(G523,"m^2","ha")</f>
        <v>0.1030352</v>
      </c>
      <c r="K523" s="0" t="b">
        <f aca="false">IF(J523&gt;(I523*2),((ROUNDDOWN(J523/I523,0))-1))</f>
        <v>0</v>
      </c>
    </row>
    <row r="524" customFormat="false" ht="12.75" hidden="false" customHeight="false" outlineLevel="0" collapsed="false">
      <c r="A524" s="5" t="n">
        <v>711</v>
      </c>
      <c r="B524" s="6" t="s">
        <v>1835</v>
      </c>
      <c r="C524" s="6" t="s">
        <v>12</v>
      </c>
      <c r="D524" s="6" t="s">
        <v>1836</v>
      </c>
      <c r="E524" s="6" t="s">
        <v>14</v>
      </c>
      <c r="F524" s="6" t="n">
        <v>4859.0908702</v>
      </c>
      <c r="G524" s="6" t="n">
        <v>4859.091</v>
      </c>
      <c r="H524" s="6" t="s">
        <v>792</v>
      </c>
      <c r="I524" s="0" t="n">
        <v>0.4</v>
      </c>
      <c r="J524" s="0" t="n">
        <f aca="false">CONVERT(G524,"m^2","ha")</f>
        <v>0.4859091</v>
      </c>
      <c r="K524" s="0" t="b">
        <f aca="false">IF(J524&gt;(I524*2),((ROUNDDOWN(J524/I524,0))-1))</f>
        <v>0</v>
      </c>
    </row>
    <row r="525" customFormat="false" ht="12.75" hidden="false" customHeight="false" outlineLevel="0" collapsed="false">
      <c r="A525" s="5" t="n">
        <v>712</v>
      </c>
      <c r="B525" s="6" t="s">
        <v>1837</v>
      </c>
      <c r="C525" s="6" t="s">
        <v>12</v>
      </c>
      <c r="D525" s="6" t="s">
        <v>1838</v>
      </c>
      <c r="E525" s="6" t="s">
        <v>14</v>
      </c>
      <c r="F525" s="6" t="n">
        <v>988.653897455</v>
      </c>
      <c r="G525" s="6" t="n">
        <v>988.654</v>
      </c>
      <c r="H525" s="6" t="s">
        <v>792</v>
      </c>
      <c r="I525" s="0" t="n">
        <v>0.4</v>
      </c>
      <c r="J525" s="0" t="n">
        <f aca="false">CONVERT(G525,"m^2","ha")</f>
        <v>0.0988654</v>
      </c>
      <c r="K525" s="0" t="b">
        <f aca="false">IF(J525&gt;(I525*2),((ROUNDDOWN(J525/I525,0))-1))</f>
        <v>0</v>
      </c>
    </row>
    <row r="526" customFormat="false" ht="12.75" hidden="false" customHeight="false" outlineLevel="0" collapsed="false">
      <c r="A526" s="5" t="n">
        <v>713</v>
      </c>
      <c r="B526" s="6" t="s">
        <v>1839</v>
      </c>
      <c r="C526" s="6" t="s">
        <v>12</v>
      </c>
      <c r="D526" s="6" t="s">
        <v>1840</v>
      </c>
      <c r="E526" s="6" t="s">
        <v>14</v>
      </c>
      <c r="F526" s="6" t="n">
        <v>1016.474712915</v>
      </c>
      <c r="G526" s="6" t="n">
        <v>1016.475</v>
      </c>
      <c r="H526" s="6" t="s">
        <v>792</v>
      </c>
      <c r="I526" s="0" t="n">
        <v>0.4</v>
      </c>
      <c r="J526" s="0" t="n">
        <f aca="false">CONVERT(G526,"m^2","ha")</f>
        <v>0.1016475</v>
      </c>
      <c r="K526" s="0" t="b">
        <f aca="false">IF(J526&gt;(I526*2),((ROUNDDOWN(J526/I526,0))-1))</f>
        <v>0</v>
      </c>
    </row>
    <row r="527" customFormat="false" ht="12.75" hidden="false" customHeight="false" outlineLevel="0" collapsed="false">
      <c r="A527" s="5" t="n">
        <v>714</v>
      </c>
      <c r="B527" s="6" t="s">
        <v>1841</v>
      </c>
      <c r="C527" s="6" t="s">
        <v>12</v>
      </c>
      <c r="D527" s="6" t="s">
        <v>1842</v>
      </c>
      <c r="E527" s="6" t="s">
        <v>14</v>
      </c>
      <c r="F527" s="6" t="n">
        <v>871.77892234</v>
      </c>
      <c r="G527" s="6" t="n">
        <v>871.779</v>
      </c>
      <c r="H527" s="6" t="s">
        <v>792</v>
      </c>
      <c r="I527" s="0" t="n">
        <v>0.4</v>
      </c>
      <c r="J527" s="0" t="n">
        <f aca="false">CONVERT(G527,"m^2","ha")</f>
        <v>0.0871779</v>
      </c>
      <c r="K527" s="0" t="b">
        <f aca="false">IF(J527&gt;(I527*2),((ROUNDDOWN(J527/I527,0))-1))</f>
        <v>0</v>
      </c>
    </row>
    <row r="528" customFormat="false" ht="12.75" hidden="false" customHeight="false" outlineLevel="0" collapsed="false">
      <c r="A528" s="5" t="n">
        <v>715</v>
      </c>
      <c r="B528" s="6" t="s">
        <v>1843</v>
      </c>
      <c r="C528" s="6" t="s">
        <v>12</v>
      </c>
      <c r="D528" s="6" t="s">
        <v>1844</v>
      </c>
      <c r="E528" s="6" t="s">
        <v>14</v>
      </c>
      <c r="F528" s="6" t="n">
        <v>1015.172979255</v>
      </c>
      <c r="G528" s="6" t="n">
        <v>1015.173</v>
      </c>
      <c r="H528" s="6" t="s">
        <v>792</v>
      </c>
      <c r="I528" s="0" t="n">
        <v>0.4</v>
      </c>
      <c r="J528" s="0" t="n">
        <f aca="false">CONVERT(G528,"m^2","ha")</f>
        <v>0.1015173</v>
      </c>
      <c r="K528" s="0" t="b">
        <f aca="false">IF(J528&gt;(I528*2),((ROUNDDOWN(J528/I528,0))-1))</f>
        <v>0</v>
      </c>
    </row>
    <row r="529" customFormat="false" ht="12.75" hidden="false" customHeight="false" outlineLevel="0" collapsed="false">
      <c r="A529" s="5" t="n">
        <v>716</v>
      </c>
      <c r="B529" s="6" t="s">
        <v>1845</v>
      </c>
      <c r="C529" s="6" t="s">
        <v>12</v>
      </c>
      <c r="D529" s="6" t="s">
        <v>1846</v>
      </c>
      <c r="E529" s="6" t="s">
        <v>14</v>
      </c>
      <c r="F529" s="6" t="n">
        <v>958.487809695</v>
      </c>
      <c r="G529" s="6" t="n">
        <v>958.488</v>
      </c>
      <c r="H529" s="6" t="s">
        <v>792</v>
      </c>
      <c r="I529" s="0" t="n">
        <v>0.4</v>
      </c>
      <c r="J529" s="0" t="n">
        <f aca="false">CONVERT(G529,"m^2","ha")</f>
        <v>0.0958488</v>
      </c>
      <c r="K529" s="0" t="b">
        <f aca="false">IF(J529&gt;(I529*2),((ROUNDDOWN(J529/I529,0))-1))</f>
        <v>0</v>
      </c>
    </row>
    <row r="530" customFormat="false" ht="12.75" hidden="false" customHeight="false" outlineLevel="0" collapsed="false">
      <c r="A530" s="5" t="n">
        <v>717</v>
      </c>
      <c r="B530" s="6" t="s">
        <v>1847</v>
      </c>
      <c r="C530" s="6" t="s">
        <v>12</v>
      </c>
      <c r="D530" s="6" t="s">
        <v>1848</v>
      </c>
      <c r="E530" s="6" t="s">
        <v>14</v>
      </c>
      <c r="F530" s="6" t="n">
        <v>978.72145527</v>
      </c>
      <c r="G530" s="6" t="n">
        <v>978.721</v>
      </c>
      <c r="H530" s="6" t="s">
        <v>792</v>
      </c>
      <c r="I530" s="0" t="n">
        <v>0.4</v>
      </c>
      <c r="J530" s="0" t="n">
        <f aca="false">CONVERT(G530,"m^2","ha")</f>
        <v>0.0978721</v>
      </c>
      <c r="K530" s="0" t="b">
        <f aca="false">IF(J530&gt;(I530*2),((ROUNDDOWN(J530/I530,0))-1))</f>
        <v>0</v>
      </c>
    </row>
    <row r="531" customFormat="false" ht="12.75" hidden="false" customHeight="false" outlineLevel="0" collapsed="false">
      <c r="A531" s="5" t="n">
        <v>718</v>
      </c>
      <c r="B531" s="6" t="s">
        <v>1849</v>
      </c>
      <c r="C531" s="6" t="s">
        <v>12</v>
      </c>
      <c r="D531" s="6" t="s">
        <v>1850</v>
      </c>
      <c r="E531" s="6" t="s">
        <v>14</v>
      </c>
      <c r="F531" s="6" t="n">
        <v>2387.10004818</v>
      </c>
      <c r="G531" s="6" t="n">
        <v>2387.502</v>
      </c>
      <c r="H531" s="6" t="s">
        <v>792</v>
      </c>
      <c r="I531" s="0" t="n">
        <v>0.4</v>
      </c>
      <c r="J531" s="0" t="n">
        <f aca="false">CONVERT(G531,"m^2","ha")</f>
        <v>0.2387502</v>
      </c>
      <c r="K531" s="0" t="b">
        <f aca="false">IF(J531&gt;(I531*2),((ROUNDDOWN(J531/I531,0))-1))</f>
        <v>0</v>
      </c>
    </row>
    <row r="532" customFormat="false" ht="12.75" hidden="false" customHeight="false" outlineLevel="0" collapsed="false">
      <c r="A532" s="5" t="n">
        <v>719</v>
      </c>
      <c r="B532" s="6" t="s">
        <v>1851</v>
      </c>
      <c r="C532" s="6" t="s">
        <v>12</v>
      </c>
      <c r="D532" s="6" t="s">
        <v>1852</v>
      </c>
      <c r="E532" s="6" t="s">
        <v>14</v>
      </c>
      <c r="F532" s="6" t="n">
        <v>1005.69454296</v>
      </c>
      <c r="G532" s="6" t="n">
        <v>1005.695</v>
      </c>
      <c r="H532" s="6" t="s">
        <v>792</v>
      </c>
      <c r="I532" s="0" t="n">
        <v>0.4</v>
      </c>
      <c r="J532" s="0" t="n">
        <f aca="false">CONVERT(G532,"m^2","ha")</f>
        <v>0.1005695</v>
      </c>
      <c r="K532" s="0" t="b">
        <f aca="false">IF(J532&gt;(I532*2),((ROUNDDOWN(J532/I532,0))-1))</f>
        <v>0</v>
      </c>
    </row>
    <row r="533" customFormat="false" ht="12.75" hidden="false" customHeight="false" outlineLevel="0" collapsed="false">
      <c r="A533" s="5" t="n">
        <v>720</v>
      </c>
      <c r="B533" s="6" t="s">
        <v>1853</v>
      </c>
      <c r="C533" s="6" t="s">
        <v>12</v>
      </c>
      <c r="D533" s="6" t="s">
        <v>1854</v>
      </c>
      <c r="E533" s="6" t="s">
        <v>14</v>
      </c>
      <c r="F533" s="6" t="n">
        <v>1020.12036476</v>
      </c>
      <c r="G533" s="6" t="n">
        <v>1020.12</v>
      </c>
      <c r="H533" s="6" t="s">
        <v>792</v>
      </c>
      <c r="I533" s="0" t="n">
        <v>0.4</v>
      </c>
      <c r="J533" s="0" t="n">
        <f aca="false">CONVERT(G533,"m^2","ha")</f>
        <v>0.102012</v>
      </c>
      <c r="K533" s="0" t="b">
        <f aca="false">IF(J533&gt;(I533*2),((ROUNDDOWN(J533/I533,0))-1))</f>
        <v>0</v>
      </c>
    </row>
    <row r="534" customFormat="false" ht="12.75" hidden="false" customHeight="false" outlineLevel="0" collapsed="false">
      <c r="A534" s="5" t="n">
        <v>721</v>
      </c>
      <c r="B534" s="6" t="s">
        <v>1855</v>
      </c>
      <c r="C534" s="6" t="s">
        <v>12</v>
      </c>
      <c r="D534" s="6" t="s">
        <v>1856</v>
      </c>
      <c r="E534" s="6" t="s">
        <v>14</v>
      </c>
      <c r="F534" s="6" t="n">
        <v>1823.28103915</v>
      </c>
      <c r="G534" s="6" t="n">
        <v>1823.281</v>
      </c>
      <c r="H534" s="6" t="s">
        <v>792</v>
      </c>
      <c r="I534" s="0" t="n">
        <v>0.4</v>
      </c>
      <c r="J534" s="0" t="n">
        <f aca="false">CONVERT(G534,"m^2","ha")</f>
        <v>0.1823281</v>
      </c>
      <c r="K534" s="0" t="b">
        <f aca="false">IF(J534&gt;(I534*2),((ROUNDDOWN(J534/I534,0))-1))</f>
        <v>0</v>
      </c>
    </row>
    <row r="535" customFormat="false" ht="12.75" hidden="false" customHeight="false" outlineLevel="0" collapsed="false">
      <c r="A535" s="5" t="n">
        <v>722</v>
      </c>
      <c r="B535" s="6" t="s">
        <v>1857</v>
      </c>
      <c r="C535" s="6" t="s">
        <v>12</v>
      </c>
      <c r="D535" s="6" t="s">
        <v>1858</v>
      </c>
      <c r="E535" s="6" t="s">
        <v>14</v>
      </c>
      <c r="F535" s="6" t="n">
        <v>1024.24865694</v>
      </c>
      <c r="G535" s="6" t="n">
        <v>1024.249</v>
      </c>
      <c r="H535" s="6" t="s">
        <v>792</v>
      </c>
      <c r="I535" s="0" t="n">
        <v>0.4</v>
      </c>
      <c r="J535" s="0" t="n">
        <f aca="false">CONVERT(G535,"m^2","ha")</f>
        <v>0.1024249</v>
      </c>
      <c r="K535" s="0" t="b">
        <f aca="false">IF(J535&gt;(I535*2),((ROUNDDOWN(J535/I535,0))-1))</f>
        <v>0</v>
      </c>
    </row>
    <row r="536" customFormat="false" ht="12.75" hidden="false" customHeight="false" outlineLevel="0" collapsed="false">
      <c r="A536" s="5" t="n">
        <v>723</v>
      </c>
      <c r="B536" s="6" t="s">
        <v>1859</v>
      </c>
      <c r="C536" s="6" t="s">
        <v>12</v>
      </c>
      <c r="D536" s="6" t="s">
        <v>1860</v>
      </c>
      <c r="E536" s="6" t="s">
        <v>14</v>
      </c>
      <c r="F536" s="6" t="n">
        <v>1045.327501605</v>
      </c>
      <c r="G536" s="6" t="n">
        <v>1045.328</v>
      </c>
      <c r="H536" s="6" t="s">
        <v>792</v>
      </c>
      <c r="I536" s="0" t="n">
        <v>0.4</v>
      </c>
      <c r="J536" s="0" t="n">
        <f aca="false">CONVERT(G536,"m^2","ha")</f>
        <v>0.1045328</v>
      </c>
      <c r="K536" s="0" t="b">
        <f aca="false">IF(J536&gt;(I536*2),((ROUNDDOWN(J536/I536,0))-1))</f>
        <v>0</v>
      </c>
    </row>
    <row r="537" customFormat="false" ht="12.75" hidden="false" customHeight="false" outlineLevel="0" collapsed="false">
      <c r="A537" s="5" t="n">
        <v>724</v>
      </c>
      <c r="B537" s="6" t="s">
        <v>1861</v>
      </c>
      <c r="C537" s="6" t="s">
        <v>12</v>
      </c>
      <c r="D537" s="6" t="s">
        <v>1862</v>
      </c>
      <c r="E537" s="6" t="s">
        <v>14</v>
      </c>
      <c r="F537" s="6" t="n">
        <v>1759.826841685</v>
      </c>
      <c r="G537" s="6" t="n">
        <v>1759.827</v>
      </c>
      <c r="H537" s="6" t="s">
        <v>792</v>
      </c>
      <c r="I537" s="0" t="n">
        <v>0.4</v>
      </c>
      <c r="J537" s="0" t="n">
        <f aca="false">CONVERT(G537,"m^2","ha")</f>
        <v>0.1759827</v>
      </c>
      <c r="K537" s="0" t="b">
        <f aca="false">IF(J537&gt;(I537*2),((ROUNDDOWN(J537/I537,0))-1))</f>
        <v>0</v>
      </c>
    </row>
    <row r="538" customFormat="false" ht="12.75" hidden="false" customHeight="false" outlineLevel="0" collapsed="false">
      <c r="A538" s="5" t="n">
        <v>725</v>
      </c>
      <c r="B538" s="6" t="s">
        <v>1863</v>
      </c>
      <c r="C538" s="6" t="s">
        <v>12</v>
      </c>
      <c r="D538" s="6" t="s">
        <v>1864</v>
      </c>
      <c r="E538" s="6" t="s">
        <v>14</v>
      </c>
      <c r="F538" s="6" t="n">
        <v>978.36857916</v>
      </c>
      <c r="G538" s="6" t="n">
        <v>978.369</v>
      </c>
      <c r="H538" s="6" t="s">
        <v>792</v>
      </c>
      <c r="I538" s="0" t="n">
        <v>0.4</v>
      </c>
      <c r="J538" s="0" t="n">
        <f aca="false">CONVERT(G538,"m^2","ha")</f>
        <v>0.0978369</v>
      </c>
      <c r="K538" s="0" t="b">
        <f aca="false">IF(J538&gt;(I538*2),((ROUNDDOWN(J538/I538,0))-1))</f>
        <v>0</v>
      </c>
    </row>
    <row r="539" customFormat="false" ht="12.75" hidden="false" customHeight="false" outlineLevel="0" collapsed="false">
      <c r="A539" s="5" t="n">
        <v>726</v>
      </c>
      <c r="B539" s="6" t="s">
        <v>1865</v>
      </c>
      <c r="C539" s="6" t="s">
        <v>12</v>
      </c>
      <c r="D539" s="6" t="s">
        <v>1866</v>
      </c>
      <c r="E539" s="6" t="s">
        <v>14</v>
      </c>
      <c r="F539" s="6" t="n">
        <v>992.35099815</v>
      </c>
      <c r="G539" s="6" t="n">
        <v>992.351</v>
      </c>
      <c r="H539" s="6" t="s">
        <v>792</v>
      </c>
      <c r="I539" s="0" t="n">
        <v>0.4</v>
      </c>
      <c r="J539" s="0" t="n">
        <f aca="false">CONVERT(G539,"m^2","ha")</f>
        <v>0.0992351</v>
      </c>
      <c r="K539" s="0" t="b">
        <f aca="false">IF(J539&gt;(I539*2),((ROUNDDOWN(J539/I539,0))-1))</f>
        <v>0</v>
      </c>
    </row>
    <row r="540" customFormat="false" ht="12.75" hidden="false" customHeight="false" outlineLevel="0" collapsed="false">
      <c r="A540" s="5" t="n">
        <v>727</v>
      </c>
      <c r="B540" s="6" t="s">
        <v>1867</v>
      </c>
      <c r="C540" s="6" t="s">
        <v>12</v>
      </c>
      <c r="D540" s="6" t="s">
        <v>1868</v>
      </c>
      <c r="E540" s="6" t="s">
        <v>14</v>
      </c>
      <c r="F540" s="6" t="n">
        <v>1875.673620235</v>
      </c>
      <c r="G540" s="6" t="n">
        <v>1875.674</v>
      </c>
      <c r="H540" s="6" t="s">
        <v>792</v>
      </c>
      <c r="I540" s="0" t="n">
        <v>0.4</v>
      </c>
      <c r="J540" s="0" t="n">
        <f aca="false">CONVERT(G540,"m^2","ha")</f>
        <v>0.1875674</v>
      </c>
      <c r="K540" s="0" t="b">
        <f aca="false">IF(J540&gt;(I540*2),((ROUNDDOWN(J540/I540,0))-1))</f>
        <v>0</v>
      </c>
    </row>
    <row r="541" customFormat="false" ht="12.75" hidden="false" customHeight="false" outlineLevel="0" collapsed="false">
      <c r="A541" s="5" t="n">
        <v>728</v>
      </c>
      <c r="B541" s="6" t="s">
        <v>1869</v>
      </c>
      <c r="C541" s="6" t="s">
        <v>12</v>
      </c>
      <c r="D541" s="6" t="s">
        <v>1870</v>
      </c>
      <c r="E541" s="6" t="s">
        <v>14</v>
      </c>
      <c r="F541" s="6" t="n">
        <v>1144.561248795</v>
      </c>
      <c r="G541" s="6" t="n">
        <v>1144.561</v>
      </c>
      <c r="H541" s="6" t="s">
        <v>792</v>
      </c>
      <c r="I541" s="0" t="n">
        <v>0.4</v>
      </c>
      <c r="J541" s="0" t="n">
        <f aca="false">CONVERT(G541,"m^2","ha")</f>
        <v>0.1144561</v>
      </c>
      <c r="K541" s="0" t="b">
        <f aca="false">IF(J541&gt;(I541*2),((ROUNDDOWN(J541/I541,0))-1))</f>
        <v>0</v>
      </c>
    </row>
    <row r="542" customFormat="false" ht="12.75" hidden="false" customHeight="false" outlineLevel="0" collapsed="false">
      <c r="A542" s="5" t="n">
        <v>729</v>
      </c>
      <c r="B542" s="6" t="s">
        <v>1871</v>
      </c>
      <c r="C542" s="6" t="s">
        <v>12</v>
      </c>
      <c r="D542" s="6" t="s">
        <v>1872</v>
      </c>
      <c r="E542" s="6" t="s">
        <v>14</v>
      </c>
      <c r="F542" s="6" t="n">
        <v>998.379028995</v>
      </c>
      <c r="G542" s="6" t="n">
        <v>998.379</v>
      </c>
      <c r="H542" s="6" t="s">
        <v>792</v>
      </c>
      <c r="I542" s="0" t="n">
        <v>0.4</v>
      </c>
      <c r="J542" s="0" t="n">
        <f aca="false">CONVERT(G542,"m^2","ha")</f>
        <v>0.0998379</v>
      </c>
      <c r="K542" s="0" t="b">
        <f aca="false">IF(J542&gt;(I542*2),((ROUNDDOWN(J542/I542,0))-1))</f>
        <v>0</v>
      </c>
    </row>
    <row r="543" customFormat="false" ht="12.75" hidden="false" customHeight="false" outlineLevel="0" collapsed="false">
      <c r="A543" s="5" t="n">
        <v>730</v>
      </c>
      <c r="B543" s="6" t="s">
        <v>1873</v>
      </c>
      <c r="C543" s="6" t="s">
        <v>12</v>
      </c>
      <c r="D543" s="6" t="s">
        <v>1874</v>
      </c>
      <c r="E543" s="6" t="s">
        <v>14</v>
      </c>
      <c r="F543" s="6" t="n">
        <v>772.44856617</v>
      </c>
      <c r="G543" s="6" t="n">
        <v>772.449</v>
      </c>
      <c r="H543" s="6" t="s">
        <v>792</v>
      </c>
      <c r="I543" s="0" t="n">
        <v>0.4</v>
      </c>
      <c r="J543" s="0" t="n">
        <f aca="false">CONVERT(G543,"m^2","ha")</f>
        <v>0.0772449</v>
      </c>
      <c r="K543" s="0" t="b">
        <f aca="false">IF(J543&gt;(I543*2),((ROUNDDOWN(J543/I543,0))-1))</f>
        <v>0</v>
      </c>
    </row>
    <row r="544" customFormat="false" ht="12.75" hidden="false" customHeight="false" outlineLevel="0" collapsed="false">
      <c r="A544" s="5" t="n">
        <v>731</v>
      </c>
      <c r="B544" s="6" t="s">
        <v>1875</v>
      </c>
      <c r="C544" s="6" t="s">
        <v>12</v>
      </c>
      <c r="D544" s="6" t="s">
        <v>1876</v>
      </c>
      <c r="E544" s="6" t="s">
        <v>14</v>
      </c>
      <c r="F544" s="6" t="n">
        <v>997.07392776</v>
      </c>
      <c r="G544" s="6" t="n">
        <v>997.074</v>
      </c>
      <c r="H544" s="6" t="s">
        <v>792</v>
      </c>
      <c r="I544" s="0" t="n">
        <v>0.4</v>
      </c>
      <c r="J544" s="0" t="n">
        <f aca="false">CONVERT(G544,"m^2","ha")</f>
        <v>0.0997074</v>
      </c>
      <c r="K544" s="0" t="b">
        <f aca="false">IF(J544&gt;(I544*2),((ROUNDDOWN(J544/I544,0))-1))</f>
        <v>0</v>
      </c>
    </row>
    <row r="545" customFormat="false" ht="12.75" hidden="false" customHeight="false" outlineLevel="0" collapsed="false">
      <c r="A545" s="5" t="n">
        <v>732</v>
      </c>
      <c r="B545" s="6" t="s">
        <v>1877</v>
      </c>
      <c r="C545" s="6" t="s">
        <v>12</v>
      </c>
      <c r="D545" s="6" t="s">
        <v>1878</v>
      </c>
      <c r="E545" s="6" t="s">
        <v>14</v>
      </c>
      <c r="F545" s="6" t="n">
        <v>944.176426425</v>
      </c>
      <c r="G545" s="6" t="n">
        <v>944.176</v>
      </c>
      <c r="H545" s="6" t="s">
        <v>792</v>
      </c>
      <c r="I545" s="0" t="n">
        <v>0.4</v>
      </c>
      <c r="J545" s="0" t="n">
        <f aca="false">CONVERT(G545,"m^2","ha")</f>
        <v>0.0944176</v>
      </c>
      <c r="K545" s="0" t="b">
        <f aca="false">IF(J545&gt;(I545*2),((ROUNDDOWN(J545/I545,0))-1))</f>
        <v>0</v>
      </c>
    </row>
    <row r="546" customFormat="false" ht="12.75" hidden="false" customHeight="false" outlineLevel="0" collapsed="false">
      <c r="A546" s="5" t="n">
        <v>733</v>
      </c>
      <c r="B546" s="6" t="s">
        <v>1879</v>
      </c>
      <c r="C546" s="6" t="s">
        <v>12</v>
      </c>
      <c r="D546" s="6" t="s">
        <v>1880</v>
      </c>
      <c r="E546" s="6" t="s">
        <v>14</v>
      </c>
      <c r="F546" s="6" t="n">
        <v>1032.72026016</v>
      </c>
      <c r="G546" s="6" t="n">
        <v>1032.72</v>
      </c>
      <c r="H546" s="6" t="s">
        <v>792</v>
      </c>
      <c r="I546" s="0" t="n">
        <v>0.4</v>
      </c>
      <c r="J546" s="0" t="n">
        <f aca="false">CONVERT(G546,"m^2","ha")</f>
        <v>0.103272</v>
      </c>
      <c r="K546" s="0" t="b">
        <f aca="false">IF(J546&gt;(I546*2),((ROUNDDOWN(J546/I546,0))-1))</f>
        <v>0</v>
      </c>
    </row>
    <row r="547" customFormat="false" ht="12.75" hidden="false" customHeight="false" outlineLevel="0" collapsed="false">
      <c r="A547" s="5" t="n">
        <v>734</v>
      </c>
      <c r="B547" s="6" t="s">
        <v>1881</v>
      </c>
      <c r="C547" s="6" t="s">
        <v>12</v>
      </c>
      <c r="D547" s="6" t="s">
        <v>1882</v>
      </c>
      <c r="E547" s="6" t="s">
        <v>14</v>
      </c>
      <c r="F547" s="6" t="n">
        <v>1523.343971645</v>
      </c>
      <c r="G547" s="6" t="n">
        <v>1523.344</v>
      </c>
      <c r="H547" s="6" t="s">
        <v>792</v>
      </c>
      <c r="I547" s="0" t="n">
        <v>0.4</v>
      </c>
      <c r="J547" s="0" t="n">
        <f aca="false">CONVERT(G547,"m^2","ha")</f>
        <v>0.1523344</v>
      </c>
      <c r="K547" s="0" t="b">
        <f aca="false">IF(J547&gt;(I547*2),((ROUNDDOWN(J547/I547,0))-1))</f>
        <v>0</v>
      </c>
    </row>
    <row r="548" customFormat="false" ht="12.75" hidden="false" customHeight="false" outlineLevel="0" collapsed="false">
      <c r="A548" s="5" t="n">
        <v>735</v>
      </c>
      <c r="B548" s="6" t="s">
        <v>1883</v>
      </c>
      <c r="C548" s="6" t="s">
        <v>12</v>
      </c>
      <c r="D548" s="6" t="s">
        <v>1884</v>
      </c>
      <c r="E548" s="6" t="s">
        <v>14</v>
      </c>
      <c r="F548" s="6" t="n">
        <v>1664.51655735</v>
      </c>
      <c r="G548" s="6" t="n">
        <v>1664.517</v>
      </c>
      <c r="H548" s="6" t="s">
        <v>792</v>
      </c>
      <c r="I548" s="0" t="n">
        <v>0.4</v>
      </c>
      <c r="J548" s="0" t="n">
        <f aca="false">CONVERT(G548,"m^2","ha")</f>
        <v>0.1664517</v>
      </c>
      <c r="K548" s="0" t="b">
        <f aca="false">IF(J548&gt;(I548*2),((ROUNDDOWN(J548/I548,0))-1))</f>
        <v>0</v>
      </c>
    </row>
    <row r="549" customFormat="false" ht="12.75" hidden="false" customHeight="false" outlineLevel="0" collapsed="false">
      <c r="A549" s="5" t="n">
        <v>736</v>
      </c>
      <c r="B549" s="6" t="s">
        <v>1885</v>
      </c>
      <c r="C549" s="6" t="s">
        <v>12</v>
      </c>
      <c r="D549" s="6" t="s">
        <v>1886</v>
      </c>
      <c r="E549" s="6" t="s">
        <v>14</v>
      </c>
      <c r="F549" s="6" t="n">
        <v>1617.95663922</v>
      </c>
      <c r="G549" s="6" t="n">
        <v>1617.957</v>
      </c>
      <c r="H549" s="6" t="s">
        <v>792</v>
      </c>
      <c r="I549" s="0" t="n">
        <v>0.4</v>
      </c>
      <c r="J549" s="0" t="n">
        <f aca="false">CONVERT(G549,"m^2","ha")</f>
        <v>0.1617957</v>
      </c>
      <c r="K549" s="0" t="b">
        <f aca="false">IF(J549&gt;(I549*2),((ROUNDDOWN(J549/I549,0))-1))</f>
        <v>0</v>
      </c>
    </row>
    <row r="550" customFormat="false" ht="12.75" hidden="false" customHeight="false" outlineLevel="0" collapsed="false">
      <c r="A550" s="5" t="n">
        <v>737</v>
      </c>
      <c r="B550" s="6" t="s">
        <v>1887</v>
      </c>
      <c r="C550" s="6" t="s">
        <v>12</v>
      </c>
      <c r="D550" s="6" t="s">
        <v>1888</v>
      </c>
      <c r="E550" s="6" t="s">
        <v>14</v>
      </c>
      <c r="F550" s="6" t="n">
        <v>1012.80537663</v>
      </c>
      <c r="G550" s="6" t="n">
        <v>1012.805</v>
      </c>
      <c r="H550" s="6" t="s">
        <v>792</v>
      </c>
      <c r="I550" s="0" t="n">
        <v>0.4</v>
      </c>
      <c r="J550" s="0" t="n">
        <f aca="false">CONVERT(G550,"m^2","ha")</f>
        <v>0.1012805</v>
      </c>
      <c r="K550" s="0" t="b">
        <f aca="false">IF(J550&gt;(I550*2),((ROUNDDOWN(J550/I550,0))-1))</f>
        <v>0</v>
      </c>
    </row>
    <row r="551" customFormat="false" ht="12.75" hidden="false" customHeight="false" outlineLevel="0" collapsed="false">
      <c r="A551" s="5" t="n">
        <v>738</v>
      </c>
      <c r="B551" s="6" t="s">
        <v>1889</v>
      </c>
      <c r="C551" s="6" t="s">
        <v>12</v>
      </c>
      <c r="D551" s="6" t="s">
        <v>1890</v>
      </c>
      <c r="E551" s="6" t="s">
        <v>14</v>
      </c>
      <c r="F551" s="6" t="n">
        <v>2119.37584078</v>
      </c>
      <c r="G551" s="6" t="n">
        <v>2119.376</v>
      </c>
      <c r="H551" s="6" t="s">
        <v>792</v>
      </c>
      <c r="I551" s="0" t="n">
        <v>0.4</v>
      </c>
      <c r="J551" s="0" t="n">
        <f aca="false">CONVERT(G551,"m^2","ha")</f>
        <v>0.2119376</v>
      </c>
      <c r="K551" s="0" t="b">
        <f aca="false">IF(J551&gt;(I551*2),((ROUNDDOWN(J551/I551,0))-1))</f>
        <v>0</v>
      </c>
    </row>
    <row r="552" customFormat="false" ht="12.75" hidden="false" customHeight="false" outlineLevel="0" collapsed="false">
      <c r="A552" s="5" t="n">
        <v>739</v>
      </c>
      <c r="B552" s="6" t="s">
        <v>1891</v>
      </c>
      <c r="C552" s="6" t="s">
        <v>12</v>
      </c>
      <c r="D552" s="6" t="s">
        <v>1892</v>
      </c>
      <c r="E552" s="6" t="s">
        <v>14</v>
      </c>
      <c r="F552" s="6" t="n">
        <v>710.34949013</v>
      </c>
      <c r="G552" s="6" t="n">
        <v>710.349</v>
      </c>
      <c r="H552" s="6" t="s">
        <v>792</v>
      </c>
      <c r="I552" s="0" t="n">
        <v>0.4</v>
      </c>
      <c r="J552" s="0" t="n">
        <f aca="false">CONVERT(G552,"m^2","ha")</f>
        <v>0.0710349</v>
      </c>
      <c r="K552" s="0" t="b">
        <f aca="false">IF(J552&gt;(I552*2),((ROUNDDOWN(J552/I552,0))-1))</f>
        <v>0</v>
      </c>
    </row>
    <row r="553" customFormat="false" ht="12.75" hidden="false" customHeight="false" outlineLevel="0" collapsed="false">
      <c r="A553" s="5" t="n">
        <v>740</v>
      </c>
      <c r="B553" s="6" t="s">
        <v>1893</v>
      </c>
      <c r="C553" s="6" t="s">
        <v>12</v>
      </c>
      <c r="D553" s="6" t="s">
        <v>1894</v>
      </c>
      <c r="E553" s="6" t="s">
        <v>14</v>
      </c>
      <c r="F553" s="6" t="n">
        <v>334.26265565</v>
      </c>
      <c r="G553" s="6" t="n">
        <v>334.263</v>
      </c>
      <c r="H553" s="6" t="s">
        <v>792</v>
      </c>
      <c r="I553" s="0" t="n">
        <v>0.4</v>
      </c>
      <c r="J553" s="0" t="n">
        <f aca="false">CONVERT(G553,"m^2","ha")</f>
        <v>0.0334263</v>
      </c>
      <c r="K553" s="0" t="b">
        <f aca="false">IF(J553&gt;(I553*2),((ROUNDDOWN(J553/I553,0))-1))</f>
        <v>0</v>
      </c>
    </row>
    <row r="554" customFormat="false" ht="12.75" hidden="false" customHeight="false" outlineLevel="0" collapsed="false">
      <c r="A554" s="5" t="n">
        <v>741</v>
      </c>
      <c r="B554" s="6" t="s">
        <v>1895</v>
      </c>
      <c r="C554" s="6" t="s">
        <v>12</v>
      </c>
      <c r="D554" s="6" t="s">
        <v>1896</v>
      </c>
      <c r="E554" s="6" t="s">
        <v>14</v>
      </c>
      <c r="F554" s="6" t="n">
        <v>824.35586613</v>
      </c>
      <c r="G554" s="6" t="n">
        <v>824.356</v>
      </c>
      <c r="H554" s="6" t="s">
        <v>792</v>
      </c>
      <c r="I554" s="0" t="n">
        <v>0.4</v>
      </c>
      <c r="J554" s="0" t="n">
        <f aca="false">CONVERT(G554,"m^2","ha")</f>
        <v>0.0824356</v>
      </c>
      <c r="K554" s="0" t="b">
        <f aca="false">IF(J554&gt;(I554*2),((ROUNDDOWN(J554/I554,0))-1))</f>
        <v>0</v>
      </c>
    </row>
    <row r="555" customFormat="false" ht="12.75" hidden="false" customHeight="false" outlineLevel="0" collapsed="false">
      <c r="A555" s="5" t="n">
        <v>744</v>
      </c>
      <c r="B555" s="6" t="s">
        <v>1897</v>
      </c>
      <c r="C555" s="6" t="s">
        <v>12</v>
      </c>
      <c r="D555" s="6" t="s">
        <v>1898</v>
      </c>
      <c r="E555" s="6" t="s">
        <v>14</v>
      </c>
      <c r="F555" s="6" t="n">
        <v>2483.90910555</v>
      </c>
      <c r="G555" s="6" t="n">
        <v>2483.909</v>
      </c>
      <c r="H555" s="6" t="s">
        <v>792</v>
      </c>
      <c r="I555" s="0" t="n">
        <v>0.4</v>
      </c>
      <c r="J555" s="0" t="n">
        <f aca="false">CONVERT(G555,"m^2","ha")</f>
        <v>0.2483909</v>
      </c>
      <c r="K555" s="0" t="b">
        <f aca="false">IF(J555&gt;(I555*2),((ROUNDDOWN(J555/I555,0))-1))</f>
        <v>0</v>
      </c>
    </row>
    <row r="556" customFormat="false" ht="12.75" hidden="false" customHeight="false" outlineLevel="0" collapsed="false">
      <c r="A556" s="5" t="n">
        <v>754</v>
      </c>
      <c r="B556" s="6" t="s">
        <v>1899</v>
      </c>
      <c r="C556" s="6" t="s">
        <v>12</v>
      </c>
      <c r="D556" s="6" t="s">
        <v>1900</v>
      </c>
      <c r="E556" s="6" t="s">
        <v>14</v>
      </c>
      <c r="F556" s="6" t="n">
        <v>1478.396757785</v>
      </c>
      <c r="G556" s="6" t="n">
        <v>1478.397</v>
      </c>
      <c r="H556" s="6" t="s">
        <v>792</v>
      </c>
      <c r="I556" s="0" t="n">
        <v>0.4</v>
      </c>
      <c r="J556" s="0" t="n">
        <f aca="false">CONVERT(G556,"m^2","ha")</f>
        <v>0.1478397</v>
      </c>
      <c r="K556" s="0" t="b">
        <f aca="false">IF(J556&gt;(I556*2),((ROUNDDOWN(J556/I556,0))-1))</f>
        <v>0</v>
      </c>
    </row>
    <row r="557" customFormat="false" ht="12.75" hidden="false" customHeight="false" outlineLevel="0" collapsed="false">
      <c r="A557" s="5" t="n">
        <v>755</v>
      </c>
      <c r="B557" s="6" t="s">
        <v>1901</v>
      </c>
      <c r="C557" s="6" t="s">
        <v>12</v>
      </c>
      <c r="D557" s="6" t="s">
        <v>1902</v>
      </c>
      <c r="E557" s="6" t="s">
        <v>14</v>
      </c>
      <c r="F557" s="6" t="n">
        <v>1208.2520794</v>
      </c>
      <c r="G557" s="6" t="n">
        <v>1208.252</v>
      </c>
      <c r="H557" s="6" t="s">
        <v>792</v>
      </c>
      <c r="I557" s="0" t="n">
        <v>0.4</v>
      </c>
      <c r="J557" s="0" t="n">
        <f aca="false">CONVERT(G557,"m^2","ha")</f>
        <v>0.1208252</v>
      </c>
      <c r="K557" s="0" t="b">
        <f aca="false">IF(J557&gt;(I557*2),((ROUNDDOWN(J557/I557,0))-1))</f>
        <v>0</v>
      </c>
    </row>
    <row r="558" customFormat="false" ht="12.75" hidden="false" customHeight="false" outlineLevel="0" collapsed="false">
      <c r="A558" s="5" t="n">
        <v>757</v>
      </c>
      <c r="B558" s="6" t="s">
        <v>1903</v>
      </c>
      <c r="C558" s="6" t="s">
        <v>12</v>
      </c>
      <c r="D558" s="6" t="s">
        <v>1904</v>
      </c>
      <c r="E558" s="6" t="s">
        <v>14</v>
      </c>
      <c r="F558" s="6" t="n">
        <v>1479.55645735</v>
      </c>
      <c r="G558" s="6" t="n">
        <v>1479.556</v>
      </c>
      <c r="H558" s="6" t="s">
        <v>792</v>
      </c>
      <c r="I558" s="0" t="n">
        <v>0.4</v>
      </c>
      <c r="J558" s="0" t="n">
        <f aca="false">CONVERT(G558,"m^2","ha")</f>
        <v>0.1479556</v>
      </c>
      <c r="K558" s="0" t="b">
        <f aca="false">IF(J558&gt;(I558*2),((ROUNDDOWN(J558/I558,0))-1))</f>
        <v>0</v>
      </c>
    </row>
    <row r="559" customFormat="false" ht="12.75" hidden="false" customHeight="false" outlineLevel="0" collapsed="false">
      <c r="A559" s="5" t="n">
        <v>769</v>
      </c>
      <c r="B559" s="6" t="s">
        <v>1905</v>
      </c>
      <c r="C559" s="6" t="s">
        <v>12</v>
      </c>
      <c r="D559" s="6" t="s">
        <v>1906</v>
      </c>
      <c r="E559" s="6" t="s">
        <v>14</v>
      </c>
      <c r="F559" s="6" t="n">
        <v>3672.015640405</v>
      </c>
      <c r="G559" s="6" t="n">
        <v>3672.125</v>
      </c>
      <c r="H559" s="6" t="s">
        <v>792</v>
      </c>
      <c r="I559" s="0" t="n">
        <v>0.4</v>
      </c>
      <c r="J559" s="0" t="n">
        <f aca="false">CONVERT(G559,"m^2","ha")</f>
        <v>0.3672125</v>
      </c>
      <c r="K559" s="0" t="b">
        <f aca="false">IF(J559&gt;(I559*2),((ROUNDDOWN(J559/I559,0))-1))</f>
        <v>0</v>
      </c>
    </row>
    <row r="560" customFormat="false" ht="12.75" hidden="false" customHeight="false" outlineLevel="0" collapsed="false">
      <c r="A560" s="5" t="n">
        <v>771</v>
      </c>
      <c r="B560" s="6" t="s">
        <v>1907</v>
      </c>
      <c r="C560" s="6" t="s">
        <v>12</v>
      </c>
      <c r="D560" s="6" t="s">
        <v>1908</v>
      </c>
      <c r="E560" s="6" t="s">
        <v>14</v>
      </c>
      <c r="F560" s="6" t="n">
        <v>1029.54897163</v>
      </c>
      <c r="G560" s="6" t="n">
        <v>1029.549</v>
      </c>
      <c r="H560" s="6" t="s">
        <v>792</v>
      </c>
      <c r="I560" s="0" t="n">
        <v>0.4</v>
      </c>
      <c r="J560" s="0" t="n">
        <f aca="false">CONVERT(G560,"m^2","ha")</f>
        <v>0.1029549</v>
      </c>
      <c r="K560" s="0" t="b">
        <f aca="false">IF(J560&gt;(I560*2),((ROUNDDOWN(J560/I560,0))-1))</f>
        <v>0</v>
      </c>
    </row>
    <row r="561" customFormat="false" ht="12.75" hidden="false" customHeight="false" outlineLevel="0" collapsed="false">
      <c r="A561" s="5" t="n">
        <v>773</v>
      </c>
      <c r="B561" s="6" t="s">
        <v>1909</v>
      </c>
      <c r="C561" s="6" t="s">
        <v>12</v>
      </c>
      <c r="D561" s="6" t="s">
        <v>1910</v>
      </c>
      <c r="E561" s="6" t="s">
        <v>14</v>
      </c>
      <c r="F561" s="6" t="n">
        <v>1914.63398289</v>
      </c>
      <c r="G561" s="6" t="n">
        <v>1914.714</v>
      </c>
      <c r="H561" s="6" t="s">
        <v>792</v>
      </c>
      <c r="I561" s="0" t="n">
        <v>0.4</v>
      </c>
      <c r="J561" s="0" t="n">
        <f aca="false">CONVERT(G561,"m^2","ha")</f>
        <v>0.1914714</v>
      </c>
      <c r="K561" s="0" t="b">
        <f aca="false">IF(J561&gt;(I561*2),((ROUNDDOWN(J561/I561,0))-1))</f>
        <v>0</v>
      </c>
    </row>
    <row r="562" customFormat="false" ht="12.75" hidden="false" customHeight="false" outlineLevel="0" collapsed="false">
      <c r="A562" s="5" t="n">
        <v>774</v>
      </c>
      <c r="B562" s="6" t="s">
        <v>1911</v>
      </c>
      <c r="C562" s="6" t="s">
        <v>12</v>
      </c>
      <c r="D562" s="6" t="s">
        <v>1912</v>
      </c>
      <c r="E562" s="6" t="s">
        <v>14</v>
      </c>
      <c r="F562" s="6" t="n">
        <v>1954.65081266</v>
      </c>
      <c r="G562" s="6" t="n">
        <v>1954.651</v>
      </c>
      <c r="H562" s="6" t="s">
        <v>792</v>
      </c>
      <c r="I562" s="0" t="n">
        <v>0.4</v>
      </c>
      <c r="J562" s="0" t="n">
        <f aca="false">CONVERT(G562,"m^2","ha")</f>
        <v>0.1954651</v>
      </c>
      <c r="K562" s="0" t="b">
        <f aca="false">IF(J562&gt;(I562*2),((ROUNDDOWN(J562/I562,0))-1))</f>
        <v>0</v>
      </c>
    </row>
    <row r="563" customFormat="false" ht="12.75" hidden="false" customHeight="false" outlineLevel="0" collapsed="false">
      <c r="A563" s="5" t="n">
        <v>776</v>
      </c>
      <c r="B563" s="6" t="s">
        <v>1913</v>
      </c>
      <c r="C563" s="6" t="s">
        <v>12</v>
      </c>
      <c r="D563" s="6" t="s">
        <v>1914</v>
      </c>
      <c r="E563" s="6" t="s">
        <v>14</v>
      </c>
      <c r="F563" s="6" t="n">
        <v>2149.34078751</v>
      </c>
      <c r="G563" s="6" t="n">
        <v>2149.341</v>
      </c>
      <c r="H563" s="6" t="s">
        <v>792</v>
      </c>
      <c r="I563" s="0" t="n">
        <v>0.4</v>
      </c>
      <c r="J563" s="0" t="n">
        <f aca="false">CONVERT(G563,"m^2","ha")</f>
        <v>0.2149341</v>
      </c>
      <c r="K563" s="0" t="b">
        <f aca="false">IF(J563&gt;(I563*2),((ROUNDDOWN(J563/I563,0))-1))</f>
        <v>0</v>
      </c>
    </row>
    <row r="564" customFormat="false" ht="12.75" hidden="false" customHeight="false" outlineLevel="0" collapsed="false">
      <c r="A564" s="5" t="n">
        <v>777</v>
      </c>
      <c r="B564" s="6" t="s">
        <v>1915</v>
      </c>
      <c r="C564" s="6" t="s">
        <v>12</v>
      </c>
      <c r="D564" s="6" t="s">
        <v>1916</v>
      </c>
      <c r="E564" s="6" t="s">
        <v>14</v>
      </c>
      <c r="F564" s="6" t="n">
        <v>2125.07165088</v>
      </c>
      <c r="G564" s="6" t="n">
        <v>2124.843</v>
      </c>
      <c r="H564" s="6" t="s">
        <v>792</v>
      </c>
      <c r="I564" s="0" t="n">
        <v>0.4</v>
      </c>
      <c r="J564" s="0" t="n">
        <f aca="false">CONVERT(G564,"m^2","ha")</f>
        <v>0.2124843</v>
      </c>
      <c r="K564" s="0" t="b">
        <f aca="false">IF(J564&gt;(I564*2),((ROUNDDOWN(J564/I564,0))-1))</f>
        <v>0</v>
      </c>
    </row>
    <row r="565" customFormat="false" ht="12.75" hidden="false" customHeight="false" outlineLevel="0" collapsed="false">
      <c r="A565" s="5" t="n">
        <v>783</v>
      </c>
      <c r="B565" s="6" t="s">
        <v>1917</v>
      </c>
      <c r="C565" s="6" t="s">
        <v>12</v>
      </c>
      <c r="D565" s="6" t="s">
        <v>1918</v>
      </c>
      <c r="E565" s="6" t="s">
        <v>14</v>
      </c>
      <c r="F565" s="6" t="n">
        <v>961.455431665</v>
      </c>
      <c r="G565" s="6" t="n">
        <v>961.455</v>
      </c>
      <c r="H565" s="6" t="s">
        <v>792</v>
      </c>
      <c r="I565" s="0" t="n">
        <v>0.4</v>
      </c>
      <c r="J565" s="0" t="n">
        <f aca="false">CONVERT(G565,"m^2","ha")</f>
        <v>0.0961455</v>
      </c>
      <c r="K565" s="0" t="b">
        <f aca="false">IF(J565&gt;(I565*2),((ROUNDDOWN(J565/I565,0))-1))</f>
        <v>0</v>
      </c>
    </row>
    <row r="566" customFormat="false" ht="12.75" hidden="false" customHeight="false" outlineLevel="0" collapsed="false">
      <c r="A566" s="5" t="n">
        <v>791</v>
      </c>
      <c r="B566" s="6" t="s">
        <v>1919</v>
      </c>
      <c r="C566" s="6" t="s">
        <v>12</v>
      </c>
      <c r="D566" s="6" t="s">
        <v>1920</v>
      </c>
      <c r="E566" s="6" t="s">
        <v>14</v>
      </c>
      <c r="F566" s="6" t="n">
        <v>3051.908220065</v>
      </c>
      <c r="G566" s="6" t="n">
        <v>3051.908</v>
      </c>
      <c r="H566" s="6" t="s">
        <v>792</v>
      </c>
      <c r="I566" s="0" t="n">
        <v>0.4</v>
      </c>
      <c r="J566" s="0" t="n">
        <f aca="false">CONVERT(G566,"m^2","ha")</f>
        <v>0.3051908</v>
      </c>
      <c r="K566" s="0" t="b">
        <f aca="false">IF(J566&gt;(I566*2),((ROUNDDOWN(J566/I566,0))-1))</f>
        <v>0</v>
      </c>
    </row>
    <row r="567" customFormat="false" ht="12.75" hidden="false" customHeight="false" outlineLevel="0" collapsed="false">
      <c r="A567" s="5" t="n">
        <v>794</v>
      </c>
      <c r="B567" s="6" t="s">
        <v>1921</v>
      </c>
      <c r="C567" s="6" t="s">
        <v>12</v>
      </c>
      <c r="D567" s="6" t="s">
        <v>1922</v>
      </c>
      <c r="E567" s="6" t="s">
        <v>14</v>
      </c>
      <c r="F567" s="6" t="n">
        <v>1145.06353314</v>
      </c>
      <c r="G567" s="6" t="n">
        <v>1145.064</v>
      </c>
      <c r="H567" s="6" t="s">
        <v>792</v>
      </c>
      <c r="I567" s="0" t="n">
        <v>0.4</v>
      </c>
      <c r="J567" s="0" t="n">
        <f aca="false">CONVERT(G567,"m^2","ha")</f>
        <v>0.1145064</v>
      </c>
      <c r="K567" s="0" t="b">
        <f aca="false">IF(J567&gt;(I567*2),((ROUNDDOWN(J567/I567,0))-1))</f>
        <v>0</v>
      </c>
    </row>
    <row r="568" customFormat="false" ht="12.75" hidden="false" customHeight="false" outlineLevel="0" collapsed="false">
      <c r="A568" s="5" t="n">
        <v>799</v>
      </c>
      <c r="B568" s="6" t="s">
        <v>1923</v>
      </c>
      <c r="C568" s="6" t="s">
        <v>12</v>
      </c>
      <c r="D568" s="6" t="s">
        <v>1924</v>
      </c>
      <c r="E568" s="6" t="s">
        <v>14</v>
      </c>
      <c r="F568" s="6" t="n">
        <v>27283.429111955</v>
      </c>
      <c r="G568" s="6" t="n">
        <v>27283.429</v>
      </c>
      <c r="H568" s="6" t="s">
        <v>792</v>
      </c>
      <c r="I568" s="0" t="n">
        <v>0.4</v>
      </c>
      <c r="J568" s="0" t="n">
        <f aca="false">CONVERT(G568,"m^2","ha")</f>
        <v>2.7283429</v>
      </c>
      <c r="K568" s="0" t="n">
        <f aca="false">IF(J568&gt;(I568*2),((ROUNDDOWN(J568/I568,0))-1))</f>
        <v>5</v>
      </c>
    </row>
    <row r="569" customFormat="false" ht="12.75" hidden="false" customHeight="false" outlineLevel="0" collapsed="false">
      <c r="A569" s="5" t="n">
        <v>803</v>
      </c>
      <c r="B569" s="6" t="s">
        <v>1925</v>
      </c>
      <c r="C569" s="6" t="s">
        <v>12</v>
      </c>
      <c r="D569" s="6" t="s">
        <v>1926</v>
      </c>
      <c r="E569" s="6" t="s">
        <v>14</v>
      </c>
      <c r="F569" s="6" t="n">
        <v>3922.177749955</v>
      </c>
      <c r="G569" s="6" t="n">
        <v>3922.178</v>
      </c>
      <c r="H569" s="6" t="s">
        <v>792</v>
      </c>
      <c r="I569" s="0" t="n">
        <v>0.4</v>
      </c>
      <c r="J569" s="0" t="n">
        <f aca="false">CONVERT(G569,"m^2","ha")</f>
        <v>0.3922178</v>
      </c>
      <c r="K569" s="0" t="b">
        <f aca="false">IF(J569&gt;(I569*2),((ROUNDDOWN(J569/I569,0))-1))</f>
        <v>0</v>
      </c>
    </row>
    <row r="570" customFormat="false" ht="12.75" hidden="false" customHeight="false" outlineLevel="0" collapsed="false">
      <c r="A570" s="5" t="n">
        <v>807</v>
      </c>
      <c r="B570" s="6" t="s">
        <v>1927</v>
      </c>
      <c r="C570" s="6" t="s">
        <v>12</v>
      </c>
      <c r="D570" s="6" t="s">
        <v>1928</v>
      </c>
      <c r="E570" s="6" t="s">
        <v>14</v>
      </c>
      <c r="F570" s="6" t="n">
        <v>3945.595079295</v>
      </c>
      <c r="G570" s="6" t="n">
        <v>3945.595</v>
      </c>
      <c r="H570" s="6" t="s">
        <v>792</v>
      </c>
      <c r="I570" s="0" t="n">
        <v>0.4</v>
      </c>
      <c r="J570" s="0" t="n">
        <f aca="false">CONVERT(G570,"m^2","ha")</f>
        <v>0.3945595</v>
      </c>
      <c r="K570" s="0" t="b">
        <f aca="false">IF(J570&gt;(I570*2),((ROUNDDOWN(J570/I570,0))-1))</f>
        <v>0</v>
      </c>
    </row>
    <row r="571" customFormat="false" ht="12.75" hidden="false" customHeight="false" outlineLevel="0" collapsed="false">
      <c r="A571" s="5" t="n">
        <v>813</v>
      </c>
      <c r="B571" s="6" t="s">
        <v>1929</v>
      </c>
      <c r="C571" s="6" t="s">
        <v>12</v>
      </c>
      <c r="D571" s="6" t="s">
        <v>1930</v>
      </c>
      <c r="E571" s="6" t="s">
        <v>14</v>
      </c>
      <c r="F571" s="6" t="n">
        <v>17934.636477545</v>
      </c>
      <c r="G571" s="6" t="n">
        <v>17934.923</v>
      </c>
      <c r="H571" s="6" t="s">
        <v>792</v>
      </c>
      <c r="I571" s="0" t="n">
        <v>0.4</v>
      </c>
      <c r="J571" s="0" t="n">
        <f aca="false">CONVERT(G571,"m^2","ha")</f>
        <v>1.7934923</v>
      </c>
      <c r="K571" s="0" t="n">
        <f aca="false">IF(J571&gt;(I571*2),((ROUNDDOWN(J571/I571,0))-1))</f>
        <v>3</v>
      </c>
    </row>
    <row r="572" customFormat="false" ht="12.75" hidden="false" customHeight="false" outlineLevel="0" collapsed="false">
      <c r="A572" s="5" t="n">
        <v>815</v>
      </c>
      <c r="B572" s="6" t="s">
        <v>1931</v>
      </c>
      <c r="C572" s="6" t="s">
        <v>12</v>
      </c>
      <c r="D572" s="6" t="s">
        <v>1932</v>
      </c>
      <c r="E572" s="6" t="s">
        <v>14</v>
      </c>
      <c r="F572" s="6" t="n">
        <v>12512.606021845</v>
      </c>
      <c r="G572" s="6" t="n">
        <v>12512.606</v>
      </c>
      <c r="H572" s="6" t="s">
        <v>792</v>
      </c>
      <c r="I572" s="0" t="n">
        <v>0.4</v>
      </c>
      <c r="J572" s="0" t="n">
        <f aca="false">CONVERT(G572,"m^2","ha")</f>
        <v>1.2512606</v>
      </c>
      <c r="K572" s="0" t="n">
        <f aca="false">IF(J572&gt;(I572*2),((ROUNDDOWN(J572/I572,0))-1))</f>
        <v>2</v>
      </c>
    </row>
    <row r="573" customFormat="false" ht="12.75" hidden="false" customHeight="false" outlineLevel="0" collapsed="false">
      <c r="A573" s="5" t="n">
        <v>816</v>
      </c>
      <c r="B573" s="6" t="s">
        <v>1933</v>
      </c>
      <c r="C573" s="6" t="s">
        <v>12</v>
      </c>
      <c r="D573" s="6" t="s">
        <v>1934</v>
      </c>
      <c r="E573" s="6" t="s">
        <v>14</v>
      </c>
      <c r="F573" s="6" t="n">
        <v>7254.609690435</v>
      </c>
      <c r="G573" s="6" t="n">
        <v>7254.61</v>
      </c>
      <c r="H573" s="6" t="s">
        <v>792</v>
      </c>
      <c r="I573" s="0" t="n">
        <v>0.4</v>
      </c>
      <c r="J573" s="0" t="n">
        <f aca="false">CONVERT(G573,"m^2","ha")</f>
        <v>0.725461</v>
      </c>
      <c r="K573" s="0" t="b">
        <f aca="false">IF(J573&gt;(I573*2),((ROUNDDOWN(J573/I573,0))-1))</f>
        <v>0</v>
      </c>
    </row>
    <row r="574" customFormat="false" ht="12.75" hidden="false" customHeight="false" outlineLevel="0" collapsed="false">
      <c r="A574" s="5" t="n">
        <v>817</v>
      </c>
      <c r="B574" s="6" t="s">
        <v>1935</v>
      </c>
      <c r="C574" s="6" t="s">
        <v>12</v>
      </c>
      <c r="D574" s="6" t="s">
        <v>1936</v>
      </c>
      <c r="E574" s="6" t="s">
        <v>14</v>
      </c>
      <c r="F574" s="6" t="n">
        <v>9648.41798357</v>
      </c>
      <c r="G574" s="6" t="n">
        <v>9648.418</v>
      </c>
      <c r="H574" s="6" t="s">
        <v>792</v>
      </c>
      <c r="I574" s="0" t="n">
        <v>0.4</v>
      </c>
      <c r="J574" s="0" t="n">
        <f aca="false">CONVERT(G574,"m^2","ha")</f>
        <v>0.9648418</v>
      </c>
      <c r="K574" s="0" t="n">
        <f aca="false">IF(J574&gt;(I574*2),((ROUNDDOWN(J574/I574,0))-1))</f>
        <v>1</v>
      </c>
    </row>
    <row r="575" customFormat="false" ht="12.75" hidden="false" customHeight="false" outlineLevel="0" collapsed="false">
      <c r="A575" s="5" t="n">
        <v>818</v>
      </c>
      <c r="B575" s="6" t="s">
        <v>1937</v>
      </c>
      <c r="C575" s="6" t="s">
        <v>12</v>
      </c>
      <c r="D575" s="6" t="s">
        <v>1938</v>
      </c>
      <c r="E575" s="6" t="s">
        <v>14</v>
      </c>
      <c r="F575" s="6" t="n">
        <v>7601.24959331</v>
      </c>
      <c r="G575" s="6" t="n">
        <v>7601.25</v>
      </c>
      <c r="H575" s="6" t="s">
        <v>792</v>
      </c>
      <c r="I575" s="0" t="n">
        <v>0.4</v>
      </c>
      <c r="J575" s="0" t="n">
        <f aca="false">CONVERT(G575,"m^2","ha")</f>
        <v>0.760125</v>
      </c>
      <c r="K575" s="0" t="b">
        <f aca="false">IF(J575&gt;(I575*2),((ROUNDDOWN(J575/I575,0))-1))</f>
        <v>0</v>
      </c>
    </row>
    <row r="576" customFormat="false" ht="12.75" hidden="false" customHeight="false" outlineLevel="0" collapsed="false">
      <c r="A576" s="5" t="n">
        <v>828</v>
      </c>
      <c r="B576" s="6" t="s">
        <v>1939</v>
      </c>
      <c r="C576" s="6" t="s">
        <v>12</v>
      </c>
      <c r="D576" s="6" t="s">
        <v>1940</v>
      </c>
      <c r="E576" s="6" t="s">
        <v>14</v>
      </c>
      <c r="F576" s="6" t="n">
        <v>2002.1032591</v>
      </c>
      <c r="G576" s="6" t="n">
        <v>2002.103</v>
      </c>
      <c r="H576" s="6" t="s">
        <v>792</v>
      </c>
      <c r="I576" s="0" t="n">
        <v>0.4</v>
      </c>
      <c r="J576" s="0" t="n">
        <f aca="false">CONVERT(G576,"m^2","ha")</f>
        <v>0.2002103</v>
      </c>
      <c r="K576" s="0" t="b">
        <f aca="false">IF(J576&gt;(I576*2),((ROUNDDOWN(J576/I576,0))-1))</f>
        <v>0</v>
      </c>
    </row>
    <row r="577" customFormat="false" ht="12.75" hidden="false" customHeight="false" outlineLevel="0" collapsed="false">
      <c r="A577" s="5" t="n">
        <v>848</v>
      </c>
      <c r="B577" s="6" t="s">
        <v>1941</v>
      </c>
      <c r="C577" s="6" t="s">
        <v>12</v>
      </c>
      <c r="D577" s="6" t="s">
        <v>1942</v>
      </c>
      <c r="E577" s="6" t="s">
        <v>14</v>
      </c>
      <c r="F577" s="6" t="n">
        <v>10648.67115446</v>
      </c>
      <c r="G577" s="6" t="n">
        <v>10648.671</v>
      </c>
      <c r="H577" s="6" t="s">
        <v>792</v>
      </c>
      <c r="I577" s="0" t="n">
        <v>0.4</v>
      </c>
      <c r="J577" s="0" t="n">
        <f aca="false">CONVERT(G577,"m^2","ha")</f>
        <v>1.0648671</v>
      </c>
      <c r="K577" s="0" t="n">
        <f aca="false">IF(J577&gt;(I577*2),((ROUNDDOWN(J577/I577,0))-1))</f>
        <v>1</v>
      </c>
    </row>
    <row r="578" customFormat="false" ht="12.75" hidden="false" customHeight="false" outlineLevel="0" collapsed="false">
      <c r="A578" s="5" t="n">
        <v>851</v>
      </c>
      <c r="B578" s="6" t="s">
        <v>1943</v>
      </c>
      <c r="C578" s="6" t="s">
        <v>12</v>
      </c>
      <c r="D578" s="6" t="s">
        <v>1944</v>
      </c>
      <c r="E578" s="6" t="s">
        <v>14</v>
      </c>
      <c r="F578" s="6" t="n">
        <v>11469.293719965</v>
      </c>
      <c r="G578" s="6" t="n">
        <v>11470.204</v>
      </c>
      <c r="H578" s="6" t="s">
        <v>792</v>
      </c>
      <c r="I578" s="0" t="n">
        <v>0.4</v>
      </c>
      <c r="J578" s="0" t="n">
        <f aca="false">CONVERT(G578,"m^2","ha")</f>
        <v>1.1470204</v>
      </c>
      <c r="K578" s="0" t="n">
        <f aca="false">IF(J578&gt;(I578*2),((ROUNDDOWN(J578/I578,0))-1))</f>
        <v>1</v>
      </c>
    </row>
    <row r="579" customFormat="false" ht="12.75" hidden="false" customHeight="false" outlineLevel="0" collapsed="false">
      <c r="A579" s="5" t="n">
        <v>853</v>
      </c>
      <c r="B579" s="6" t="s">
        <v>1945</v>
      </c>
      <c r="C579" s="6" t="s">
        <v>12</v>
      </c>
      <c r="D579" s="6" t="s">
        <v>1946</v>
      </c>
      <c r="E579" s="6" t="s">
        <v>14</v>
      </c>
      <c r="F579" s="6" t="n">
        <v>8474.25213089</v>
      </c>
      <c r="G579" s="6" t="n">
        <v>8473.461</v>
      </c>
      <c r="H579" s="6" t="s">
        <v>792</v>
      </c>
      <c r="I579" s="0" t="n">
        <v>0.4</v>
      </c>
      <c r="J579" s="0" t="n">
        <f aca="false">CONVERT(G579,"m^2","ha")</f>
        <v>0.8473461</v>
      </c>
      <c r="K579" s="0" t="n">
        <f aca="false">IF(J579&gt;(I579*2),((ROUNDDOWN(J579/I579,0))-1))</f>
        <v>1</v>
      </c>
    </row>
    <row r="580" customFormat="false" ht="12.75" hidden="false" customHeight="false" outlineLevel="0" collapsed="false">
      <c r="A580" s="5" t="n">
        <v>854</v>
      </c>
      <c r="B580" s="6" t="s">
        <v>1947</v>
      </c>
      <c r="C580" s="6" t="s">
        <v>12</v>
      </c>
      <c r="D580" s="6" t="s">
        <v>1948</v>
      </c>
      <c r="E580" s="6" t="s">
        <v>14</v>
      </c>
      <c r="F580" s="6" t="n">
        <v>12045.081712975</v>
      </c>
      <c r="G580" s="6" t="n">
        <v>12045.082</v>
      </c>
      <c r="H580" s="6" t="s">
        <v>792</v>
      </c>
      <c r="I580" s="0" t="n">
        <v>0.4</v>
      </c>
      <c r="J580" s="0" t="n">
        <f aca="false">CONVERT(G580,"m^2","ha")</f>
        <v>1.2045082</v>
      </c>
      <c r="K580" s="0" t="n">
        <f aca="false">IF(J580&gt;(I580*2),((ROUNDDOWN(J580/I580,0))-1))</f>
        <v>2</v>
      </c>
    </row>
    <row r="581" customFormat="false" ht="12.75" hidden="false" customHeight="false" outlineLevel="0" collapsed="false">
      <c r="A581" s="5" t="n">
        <v>856</v>
      </c>
      <c r="B581" s="6" t="s">
        <v>1949</v>
      </c>
      <c r="C581" s="6" t="s">
        <v>12</v>
      </c>
      <c r="D581" s="6" t="s">
        <v>1950</v>
      </c>
      <c r="E581" s="6" t="s">
        <v>14</v>
      </c>
      <c r="F581" s="6" t="n">
        <v>1478.18517636</v>
      </c>
      <c r="G581" s="6" t="n">
        <v>1478.185</v>
      </c>
      <c r="H581" s="6" t="s">
        <v>792</v>
      </c>
      <c r="I581" s="0" t="n">
        <v>0.4</v>
      </c>
      <c r="J581" s="0" t="n">
        <f aca="false">CONVERT(G581,"m^2","ha")</f>
        <v>0.1478185</v>
      </c>
      <c r="K581" s="0" t="b">
        <f aca="false">IF(J581&gt;(I581*2),((ROUNDDOWN(J581/I581,0))-1))</f>
        <v>0</v>
      </c>
    </row>
    <row r="582" customFormat="false" ht="12.75" hidden="false" customHeight="false" outlineLevel="0" collapsed="false">
      <c r="A582" s="5" t="n">
        <v>857</v>
      </c>
      <c r="B582" s="6" t="s">
        <v>1951</v>
      </c>
      <c r="C582" s="6" t="s">
        <v>12</v>
      </c>
      <c r="D582" s="6" t="s">
        <v>1952</v>
      </c>
      <c r="E582" s="6" t="s">
        <v>14</v>
      </c>
      <c r="F582" s="6" t="n">
        <v>1663.81029481</v>
      </c>
      <c r="G582" s="6" t="n">
        <v>1663.81</v>
      </c>
      <c r="H582" s="6" t="s">
        <v>792</v>
      </c>
      <c r="I582" s="0" t="n">
        <v>0.4</v>
      </c>
      <c r="J582" s="0" t="n">
        <f aca="false">CONVERT(G582,"m^2","ha")</f>
        <v>0.166381</v>
      </c>
      <c r="K582" s="0" t="b">
        <f aca="false">IF(J582&gt;(I582*2),((ROUNDDOWN(J582/I582,0))-1))</f>
        <v>0</v>
      </c>
    </row>
    <row r="583" customFormat="false" ht="12.75" hidden="false" customHeight="false" outlineLevel="0" collapsed="false">
      <c r="A583" s="5" t="n">
        <v>858</v>
      </c>
      <c r="B583" s="6" t="s">
        <v>1953</v>
      </c>
      <c r="C583" s="6" t="s">
        <v>89</v>
      </c>
      <c r="D583" s="6" t="s">
        <v>1954</v>
      </c>
      <c r="E583" s="6" t="s">
        <v>14</v>
      </c>
      <c r="F583" s="6" t="n">
        <v>1198.49005943</v>
      </c>
      <c r="G583" s="6" t="n">
        <v>1198.49</v>
      </c>
      <c r="H583" s="6" t="s">
        <v>792</v>
      </c>
      <c r="I583" s="0" t="n">
        <v>0.4</v>
      </c>
      <c r="J583" s="0" t="n">
        <f aca="false">CONVERT(G583,"m^2","ha")</f>
        <v>0.119849</v>
      </c>
      <c r="K583" s="0" t="b">
        <f aca="false">IF(J583&gt;(I583*2),((ROUNDDOWN(J583/I583,0))-1))</f>
        <v>0</v>
      </c>
    </row>
    <row r="584" customFormat="false" ht="12.75" hidden="false" customHeight="false" outlineLevel="0" collapsed="false">
      <c r="A584" s="5" t="n">
        <v>859</v>
      </c>
      <c r="B584" s="6" t="s">
        <v>1955</v>
      </c>
      <c r="C584" s="6" t="s">
        <v>12</v>
      </c>
      <c r="D584" s="6" t="s">
        <v>1956</v>
      </c>
      <c r="E584" s="6" t="s">
        <v>14</v>
      </c>
      <c r="F584" s="6" t="n">
        <v>4825.11916685</v>
      </c>
      <c r="G584" s="6" t="n">
        <v>4825.696</v>
      </c>
      <c r="H584" s="6" t="s">
        <v>792</v>
      </c>
      <c r="I584" s="0" t="n">
        <v>0.4</v>
      </c>
      <c r="J584" s="0" t="n">
        <f aca="false">CONVERT(G584,"m^2","ha")</f>
        <v>0.4825696</v>
      </c>
      <c r="K584" s="0" t="b">
        <f aca="false">IF(J584&gt;(I584*2),((ROUNDDOWN(J584/I584,0))-1))</f>
        <v>0</v>
      </c>
    </row>
    <row r="585" customFormat="false" ht="12.75" hidden="false" customHeight="false" outlineLevel="0" collapsed="false">
      <c r="A585" s="5" t="n">
        <v>860</v>
      </c>
      <c r="B585" s="6" t="s">
        <v>1957</v>
      </c>
      <c r="C585" s="6" t="s">
        <v>12</v>
      </c>
      <c r="D585" s="6" t="s">
        <v>1958</v>
      </c>
      <c r="E585" s="6" t="s">
        <v>14</v>
      </c>
      <c r="F585" s="6" t="n">
        <v>2032.41371927</v>
      </c>
      <c r="G585" s="6" t="n">
        <v>2032.414</v>
      </c>
      <c r="H585" s="6" t="s">
        <v>792</v>
      </c>
      <c r="I585" s="0" t="n">
        <v>0.4</v>
      </c>
      <c r="J585" s="0" t="n">
        <f aca="false">CONVERT(G585,"m^2","ha")</f>
        <v>0.2032414</v>
      </c>
      <c r="K585" s="0" t="b">
        <f aca="false">IF(J585&gt;(I585*2),((ROUNDDOWN(J585/I585,0))-1))</f>
        <v>0</v>
      </c>
    </row>
    <row r="586" customFormat="false" ht="12.75" hidden="false" customHeight="false" outlineLevel="0" collapsed="false">
      <c r="A586" s="5" t="n">
        <v>861</v>
      </c>
      <c r="B586" s="6" t="s">
        <v>1959</v>
      </c>
      <c r="C586" s="6" t="s">
        <v>12</v>
      </c>
      <c r="D586" s="6" t="s">
        <v>1960</v>
      </c>
      <c r="E586" s="6" t="s">
        <v>14</v>
      </c>
      <c r="F586" s="6" t="n">
        <v>1751.00715758</v>
      </c>
      <c r="G586" s="6" t="n">
        <v>1751.007</v>
      </c>
      <c r="H586" s="6" t="s">
        <v>792</v>
      </c>
      <c r="I586" s="0" t="n">
        <v>0.4</v>
      </c>
      <c r="J586" s="0" t="n">
        <f aca="false">CONVERT(G586,"m^2","ha")</f>
        <v>0.1751007</v>
      </c>
      <c r="K586" s="0" t="b">
        <f aca="false">IF(J586&gt;(I586*2),((ROUNDDOWN(J586/I586,0))-1))</f>
        <v>0</v>
      </c>
    </row>
    <row r="587" customFormat="false" ht="12.75" hidden="false" customHeight="false" outlineLevel="0" collapsed="false">
      <c r="A587" s="5" t="n">
        <v>862</v>
      </c>
      <c r="B587" s="6" t="s">
        <v>1961</v>
      </c>
      <c r="C587" s="6" t="s">
        <v>12</v>
      </c>
      <c r="D587" s="6" t="s">
        <v>1962</v>
      </c>
      <c r="E587" s="6" t="s">
        <v>14</v>
      </c>
      <c r="F587" s="6" t="n">
        <v>1921.978466975</v>
      </c>
      <c r="G587" s="6" t="n">
        <v>1921.978</v>
      </c>
      <c r="H587" s="6" t="s">
        <v>792</v>
      </c>
      <c r="I587" s="0" t="n">
        <v>0.4</v>
      </c>
      <c r="J587" s="0" t="n">
        <f aca="false">CONVERT(G587,"m^2","ha")</f>
        <v>0.1921978</v>
      </c>
      <c r="K587" s="0" t="b">
        <f aca="false">IF(J587&gt;(I587*2),((ROUNDDOWN(J587/I587,0))-1))</f>
        <v>0</v>
      </c>
    </row>
    <row r="588" customFormat="false" ht="12.75" hidden="false" customHeight="false" outlineLevel="0" collapsed="false">
      <c r="A588" s="5" t="n">
        <v>863</v>
      </c>
      <c r="B588" s="6" t="s">
        <v>1963</v>
      </c>
      <c r="C588" s="6" t="s">
        <v>12</v>
      </c>
      <c r="D588" s="6" t="s">
        <v>1964</v>
      </c>
      <c r="E588" s="6" t="s">
        <v>14</v>
      </c>
      <c r="F588" s="6" t="n">
        <v>1854.78049431</v>
      </c>
      <c r="G588" s="6" t="n">
        <v>1854.78</v>
      </c>
      <c r="H588" s="6" t="s">
        <v>792</v>
      </c>
      <c r="I588" s="0" t="n">
        <v>0.4</v>
      </c>
      <c r="J588" s="0" t="n">
        <f aca="false">CONVERT(G588,"m^2","ha")</f>
        <v>0.185478</v>
      </c>
      <c r="K588" s="0" t="b">
        <f aca="false">IF(J588&gt;(I588*2),((ROUNDDOWN(J588/I588,0))-1))</f>
        <v>0</v>
      </c>
    </row>
    <row r="589" customFormat="false" ht="12.75" hidden="false" customHeight="false" outlineLevel="0" collapsed="false">
      <c r="A589" s="5" t="n">
        <v>864</v>
      </c>
      <c r="B589" s="6" t="s">
        <v>1965</v>
      </c>
      <c r="C589" s="6" t="s">
        <v>12</v>
      </c>
      <c r="D589" s="6" t="s">
        <v>1966</v>
      </c>
      <c r="E589" s="6" t="s">
        <v>14</v>
      </c>
      <c r="F589" s="6" t="n">
        <v>1841.473891365</v>
      </c>
      <c r="G589" s="6" t="n">
        <v>1841.474</v>
      </c>
      <c r="H589" s="6" t="s">
        <v>792</v>
      </c>
      <c r="I589" s="0" t="n">
        <v>0.4</v>
      </c>
      <c r="J589" s="0" t="n">
        <f aca="false">CONVERT(G589,"m^2","ha")</f>
        <v>0.1841474</v>
      </c>
      <c r="K589" s="0" t="b">
        <f aca="false">IF(J589&gt;(I589*2),((ROUNDDOWN(J589/I589,0))-1))</f>
        <v>0</v>
      </c>
    </row>
    <row r="590" customFormat="false" ht="12.75" hidden="false" customHeight="false" outlineLevel="0" collapsed="false">
      <c r="A590" s="5" t="n">
        <v>880</v>
      </c>
      <c r="B590" s="6" t="s">
        <v>1967</v>
      </c>
      <c r="C590" s="6" t="s">
        <v>12</v>
      </c>
      <c r="D590" s="6" t="s">
        <v>1968</v>
      </c>
      <c r="E590" s="6" t="s">
        <v>14</v>
      </c>
      <c r="F590" s="6" t="n">
        <v>5042.021922715</v>
      </c>
      <c r="G590" s="6" t="n">
        <v>5042.022</v>
      </c>
      <c r="H590" s="6" t="s">
        <v>792</v>
      </c>
      <c r="I590" s="0" t="n">
        <v>0.4</v>
      </c>
      <c r="J590" s="0" t="n">
        <f aca="false">CONVERT(G590,"m^2","ha")</f>
        <v>0.5042022</v>
      </c>
      <c r="K590" s="0" t="b">
        <f aca="false">IF(J590&gt;(I590*2),((ROUNDDOWN(J590/I590,0))-1))</f>
        <v>0</v>
      </c>
    </row>
    <row r="591" customFormat="false" ht="12.75" hidden="false" customHeight="false" outlineLevel="0" collapsed="false">
      <c r="A591" s="5" t="n">
        <v>917</v>
      </c>
      <c r="B591" s="6" t="s">
        <v>1969</v>
      </c>
      <c r="C591" s="6" t="s">
        <v>12</v>
      </c>
      <c r="D591" s="6" t="s">
        <v>1970</v>
      </c>
      <c r="E591" s="6" t="s">
        <v>14</v>
      </c>
      <c r="F591" s="6" t="n">
        <v>9716.499798745</v>
      </c>
      <c r="G591" s="6" t="n">
        <v>9716.5</v>
      </c>
      <c r="H591" s="6" t="s">
        <v>792</v>
      </c>
      <c r="I591" s="0" t="n">
        <v>0.4</v>
      </c>
      <c r="J591" s="0" t="n">
        <f aca="false">CONVERT(G591,"m^2","ha")</f>
        <v>0.97165</v>
      </c>
      <c r="K591" s="0" t="n">
        <f aca="false">IF(J591&gt;(I591*2),((ROUNDDOWN(J591/I591,0))-1))</f>
        <v>1</v>
      </c>
    </row>
    <row r="592" customFormat="false" ht="12.75" hidden="false" customHeight="false" outlineLevel="0" collapsed="false">
      <c r="A592" s="5" t="n">
        <v>918</v>
      </c>
      <c r="B592" s="6" t="s">
        <v>1971</v>
      </c>
      <c r="C592" s="6" t="s">
        <v>12</v>
      </c>
      <c r="D592" s="6" t="s">
        <v>1972</v>
      </c>
      <c r="E592" s="6" t="s">
        <v>14</v>
      </c>
      <c r="F592" s="6" t="n">
        <v>10091.8214428</v>
      </c>
      <c r="G592" s="6" t="n">
        <v>10091.821</v>
      </c>
      <c r="H592" s="6" t="s">
        <v>792</v>
      </c>
      <c r="I592" s="0" t="n">
        <v>0.4</v>
      </c>
      <c r="J592" s="0" t="n">
        <f aca="false">CONVERT(G592,"m^2","ha")</f>
        <v>1.0091821</v>
      </c>
      <c r="K592" s="0" t="n">
        <f aca="false">IF(J592&gt;(I592*2),((ROUNDDOWN(J592/I592,0))-1))</f>
        <v>1</v>
      </c>
    </row>
    <row r="593" customFormat="false" ht="12.75" hidden="false" customHeight="false" outlineLevel="0" collapsed="false">
      <c r="A593" s="5" t="n">
        <v>919</v>
      </c>
      <c r="B593" s="6" t="s">
        <v>1973</v>
      </c>
      <c r="C593" s="6" t="s">
        <v>12</v>
      </c>
      <c r="D593" s="6" t="s">
        <v>1974</v>
      </c>
      <c r="E593" s="6" t="s">
        <v>14</v>
      </c>
      <c r="F593" s="6" t="n">
        <v>10092.698093645</v>
      </c>
      <c r="G593" s="6" t="n">
        <v>10092.698</v>
      </c>
      <c r="H593" s="6" t="s">
        <v>792</v>
      </c>
      <c r="I593" s="0" t="n">
        <v>0.4</v>
      </c>
      <c r="J593" s="0" t="n">
        <f aca="false">CONVERT(G593,"m^2","ha")</f>
        <v>1.0092698</v>
      </c>
      <c r="K593" s="0" t="n">
        <f aca="false">IF(J593&gt;(I593*2),((ROUNDDOWN(J593/I593,0))-1))</f>
        <v>1</v>
      </c>
    </row>
    <row r="594" customFormat="false" ht="12.75" hidden="false" customHeight="false" outlineLevel="0" collapsed="false">
      <c r="A594" s="5" t="n">
        <v>920</v>
      </c>
      <c r="B594" s="6" t="s">
        <v>1975</v>
      </c>
      <c r="C594" s="6" t="s">
        <v>12</v>
      </c>
      <c r="D594" s="6" t="s">
        <v>1976</v>
      </c>
      <c r="E594" s="6" t="s">
        <v>14</v>
      </c>
      <c r="F594" s="6" t="n">
        <v>3061.707685055</v>
      </c>
      <c r="G594" s="6" t="n">
        <v>3061.974</v>
      </c>
      <c r="H594" s="6" t="s">
        <v>792</v>
      </c>
      <c r="I594" s="0" t="n">
        <v>0.4</v>
      </c>
      <c r="J594" s="0" t="n">
        <f aca="false">CONVERT(G594,"m^2","ha")</f>
        <v>0.3061974</v>
      </c>
      <c r="K594" s="0" t="b">
        <f aca="false">IF(J594&gt;(I594*2),((ROUNDDOWN(J594/I594,0))-1))</f>
        <v>0</v>
      </c>
    </row>
    <row r="595" customFormat="false" ht="12.75" hidden="false" customHeight="false" outlineLevel="0" collapsed="false">
      <c r="A595" s="5" t="n">
        <v>921</v>
      </c>
      <c r="B595" s="6" t="s">
        <v>1977</v>
      </c>
      <c r="C595" s="6" t="s">
        <v>12</v>
      </c>
      <c r="D595" s="6" t="s">
        <v>1978</v>
      </c>
      <c r="E595" s="6" t="s">
        <v>14</v>
      </c>
      <c r="F595" s="6" t="n">
        <v>1661.67730483</v>
      </c>
      <c r="G595" s="6" t="n">
        <v>1661.677</v>
      </c>
      <c r="H595" s="6" t="s">
        <v>792</v>
      </c>
      <c r="I595" s="0" t="n">
        <v>0.4</v>
      </c>
      <c r="J595" s="0" t="n">
        <f aca="false">CONVERT(G595,"m^2","ha")</f>
        <v>0.1661677</v>
      </c>
      <c r="K595" s="0" t="b">
        <f aca="false">IF(J595&gt;(I595*2),((ROUNDDOWN(J595/I595,0))-1))</f>
        <v>0</v>
      </c>
    </row>
    <row r="596" customFormat="false" ht="12.75" hidden="false" customHeight="false" outlineLevel="0" collapsed="false">
      <c r="A596" s="5" t="n">
        <v>922</v>
      </c>
      <c r="B596" s="6" t="s">
        <v>1979</v>
      </c>
      <c r="C596" s="6" t="s">
        <v>12</v>
      </c>
      <c r="D596" s="6" t="s">
        <v>1980</v>
      </c>
      <c r="E596" s="6" t="s">
        <v>14</v>
      </c>
      <c r="F596" s="6" t="n">
        <v>3541.53819455</v>
      </c>
      <c r="G596" s="6" t="n">
        <v>3541.278</v>
      </c>
      <c r="H596" s="6" t="s">
        <v>792</v>
      </c>
      <c r="I596" s="0" t="n">
        <v>0.4</v>
      </c>
      <c r="J596" s="0" t="n">
        <f aca="false">CONVERT(G596,"m^2","ha")</f>
        <v>0.3541278</v>
      </c>
      <c r="K596" s="0" t="b">
        <f aca="false">IF(J596&gt;(I596*2),((ROUNDDOWN(J596/I596,0))-1))</f>
        <v>0</v>
      </c>
    </row>
    <row r="597" customFormat="false" ht="12.75" hidden="false" customHeight="false" outlineLevel="0" collapsed="false">
      <c r="A597" s="5" t="n">
        <v>923</v>
      </c>
      <c r="B597" s="6" t="s">
        <v>1981</v>
      </c>
      <c r="C597" s="6" t="s">
        <v>12</v>
      </c>
      <c r="D597" s="6" t="s">
        <v>1982</v>
      </c>
      <c r="E597" s="6" t="s">
        <v>14</v>
      </c>
      <c r="F597" s="6" t="n">
        <v>7455.899357965</v>
      </c>
      <c r="G597" s="6" t="n">
        <v>7455.511</v>
      </c>
      <c r="H597" s="6" t="s">
        <v>792</v>
      </c>
      <c r="I597" s="0" t="n">
        <v>0.4</v>
      </c>
      <c r="J597" s="0" t="n">
        <f aca="false">CONVERT(G597,"m^2","ha")</f>
        <v>0.7455511</v>
      </c>
      <c r="K597" s="0" t="b">
        <f aca="false">IF(J597&gt;(I597*2),((ROUNDDOWN(J597/I597,0))-1))</f>
        <v>0</v>
      </c>
    </row>
    <row r="598" customFormat="false" ht="12.75" hidden="false" customHeight="false" outlineLevel="0" collapsed="false">
      <c r="A598" s="5" t="n">
        <v>924</v>
      </c>
      <c r="B598" s="6" t="s">
        <v>1983</v>
      </c>
      <c r="C598" s="6" t="s">
        <v>12</v>
      </c>
      <c r="D598" s="6" t="s">
        <v>1984</v>
      </c>
      <c r="E598" s="6" t="s">
        <v>14</v>
      </c>
      <c r="F598" s="6" t="n">
        <v>26124.801613705</v>
      </c>
      <c r="G598" s="6" t="n">
        <v>26124.802</v>
      </c>
      <c r="H598" s="6" t="s">
        <v>792</v>
      </c>
      <c r="I598" s="0" t="n">
        <v>0.4</v>
      </c>
      <c r="J598" s="0" t="n">
        <f aca="false">CONVERT(G598,"m^2","ha")</f>
        <v>2.6124802</v>
      </c>
      <c r="K598" s="0" t="n">
        <f aca="false">IF(J598&gt;(I598*2),((ROUNDDOWN(J598/I598,0))-1))</f>
        <v>5</v>
      </c>
    </row>
    <row r="599" customFormat="false" ht="12.75" hidden="false" customHeight="false" outlineLevel="0" collapsed="false">
      <c r="A599" s="5" t="n">
        <v>926</v>
      </c>
      <c r="B599" s="6" t="s">
        <v>1985</v>
      </c>
      <c r="C599" s="6" t="s">
        <v>12</v>
      </c>
      <c r="D599" s="6" t="s">
        <v>1986</v>
      </c>
      <c r="E599" s="6" t="s">
        <v>14</v>
      </c>
      <c r="F599" s="6" t="n">
        <v>2035.98976132</v>
      </c>
      <c r="G599" s="6" t="n">
        <v>2035.99</v>
      </c>
      <c r="H599" s="6" t="s">
        <v>792</v>
      </c>
      <c r="I599" s="0" t="n">
        <v>0.4</v>
      </c>
      <c r="J599" s="0" t="n">
        <f aca="false">CONVERT(G599,"m^2","ha")</f>
        <v>0.203599</v>
      </c>
      <c r="K599" s="0" t="b">
        <f aca="false">IF(J599&gt;(I599*2),((ROUNDDOWN(J599/I599,0))-1))</f>
        <v>0</v>
      </c>
    </row>
    <row r="600" customFormat="false" ht="12.75" hidden="false" customHeight="false" outlineLevel="0" collapsed="false">
      <c r="A600" s="5" t="n">
        <v>927</v>
      </c>
      <c r="B600" s="6" t="s">
        <v>1987</v>
      </c>
      <c r="C600" s="6" t="s">
        <v>12</v>
      </c>
      <c r="D600" s="6" t="s">
        <v>1988</v>
      </c>
      <c r="E600" s="6" t="s">
        <v>14</v>
      </c>
      <c r="F600" s="6" t="n">
        <v>4300.78579575</v>
      </c>
      <c r="G600" s="6" t="n">
        <v>4300.786</v>
      </c>
      <c r="H600" s="6" t="s">
        <v>792</v>
      </c>
      <c r="I600" s="0" t="n">
        <v>0.4</v>
      </c>
      <c r="J600" s="0" t="n">
        <f aca="false">CONVERT(G600,"m^2","ha")</f>
        <v>0.4300786</v>
      </c>
      <c r="K600" s="0" t="b">
        <f aca="false">IF(J600&gt;(I600*2),((ROUNDDOWN(J600/I600,0))-1))</f>
        <v>0</v>
      </c>
    </row>
    <row r="601" customFormat="false" ht="12.75" hidden="false" customHeight="false" outlineLevel="0" collapsed="false">
      <c r="A601" s="5" t="n">
        <v>928</v>
      </c>
      <c r="B601" s="6" t="s">
        <v>1989</v>
      </c>
      <c r="C601" s="6" t="s">
        <v>12</v>
      </c>
      <c r="D601" s="6" t="s">
        <v>1990</v>
      </c>
      <c r="E601" s="6" t="s">
        <v>14</v>
      </c>
      <c r="F601" s="6" t="n">
        <v>3205.49844822</v>
      </c>
      <c r="G601" s="6" t="n">
        <v>3206.054</v>
      </c>
      <c r="H601" s="6" t="s">
        <v>792</v>
      </c>
      <c r="I601" s="0" t="n">
        <v>0.4</v>
      </c>
      <c r="J601" s="0" t="n">
        <f aca="false">CONVERT(G601,"m^2","ha")</f>
        <v>0.3206054</v>
      </c>
      <c r="K601" s="0" t="b">
        <f aca="false">IF(J601&gt;(I601*2),((ROUNDDOWN(J601/I601,0))-1))</f>
        <v>0</v>
      </c>
    </row>
    <row r="602" customFormat="false" ht="12.75" hidden="false" customHeight="false" outlineLevel="0" collapsed="false">
      <c r="A602" s="5" t="n">
        <v>929</v>
      </c>
      <c r="B602" s="6" t="s">
        <v>1991</v>
      </c>
      <c r="C602" s="6" t="s">
        <v>12</v>
      </c>
      <c r="D602" s="6" t="s">
        <v>1992</v>
      </c>
      <c r="E602" s="6" t="s">
        <v>14</v>
      </c>
      <c r="F602" s="6" t="n">
        <v>978.71723243</v>
      </c>
      <c r="G602" s="6" t="n">
        <v>979.445</v>
      </c>
      <c r="H602" s="6" t="s">
        <v>792</v>
      </c>
      <c r="I602" s="0" t="n">
        <v>0.4</v>
      </c>
      <c r="J602" s="0" t="n">
        <f aca="false">CONVERT(G602,"m^2","ha")</f>
        <v>0.0979445</v>
      </c>
      <c r="K602" s="0" t="b">
        <f aca="false">IF(J602&gt;(I602*2),((ROUNDDOWN(J602/I602,0))-1))</f>
        <v>0</v>
      </c>
    </row>
    <row r="603" customFormat="false" ht="12.75" hidden="false" customHeight="false" outlineLevel="0" collapsed="false">
      <c r="A603" s="5" t="n">
        <v>930</v>
      </c>
      <c r="B603" s="6" t="s">
        <v>1993</v>
      </c>
      <c r="C603" s="6" t="s">
        <v>12</v>
      </c>
      <c r="D603" s="6" t="s">
        <v>1994</v>
      </c>
      <c r="E603" s="6" t="s">
        <v>14</v>
      </c>
      <c r="F603" s="6" t="n">
        <v>1505.839208435</v>
      </c>
      <c r="G603" s="6" t="n">
        <v>1505.457</v>
      </c>
      <c r="H603" s="6" t="s">
        <v>792</v>
      </c>
      <c r="I603" s="0" t="n">
        <v>0.4</v>
      </c>
      <c r="J603" s="0" t="n">
        <f aca="false">CONVERT(G603,"m^2","ha")</f>
        <v>0.1505457</v>
      </c>
      <c r="K603" s="0" t="b">
        <f aca="false">IF(J603&gt;(I603*2),((ROUNDDOWN(J603/I603,0))-1))</f>
        <v>0</v>
      </c>
    </row>
    <row r="604" customFormat="false" ht="12.75" hidden="false" customHeight="false" outlineLevel="0" collapsed="false">
      <c r="A604" s="5" t="n">
        <v>931</v>
      </c>
      <c r="B604" s="6" t="s">
        <v>1995</v>
      </c>
      <c r="C604" s="6" t="s">
        <v>89</v>
      </c>
      <c r="D604" s="6" t="s">
        <v>1996</v>
      </c>
      <c r="E604" s="6" t="s">
        <v>14</v>
      </c>
      <c r="F604" s="6" t="n">
        <v>1001.30237449</v>
      </c>
      <c r="G604" s="6" t="n">
        <v>1001.302</v>
      </c>
      <c r="H604" s="6" t="s">
        <v>792</v>
      </c>
      <c r="I604" s="0" t="n">
        <v>0.4</v>
      </c>
      <c r="J604" s="0" t="n">
        <f aca="false">CONVERT(G604,"m^2","ha")</f>
        <v>0.1001302</v>
      </c>
      <c r="K604" s="0" t="b">
        <f aca="false">IF(J604&gt;(I604*2),((ROUNDDOWN(J604/I604,0))-1))</f>
        <v>0</v>
      </c>
    </row>
    <row r="605" customFormat="false" ht="12.75" hidden="false" customHeight="false" outlineLevel="0" collapsed="false">
      <c r="A605" s="5" t="n">
        <v>932</v>
      </c>
      <c r="B605" s="6" t="s">
        <v>1997</v>
      </c>
      <c r="C605" s="6" t="s">
        <v>12</v>
      </c>
      <c r="D605" s="6" t="s">
        <v>1998</v>
      </c>
      <c r="E605" s="6" t="s">
        <v>14</v>
      </c>
      <c r="F605" s="6" t="n">
        <v>1406.0317212</v>
      </c>
      <c r="G605" s="6" t="n">
        <v>1406.032</v>
      </c>
      <c r="H605" s="6" t="s">
        <v>792</v>
      </c>
      <c r="I605" s="0" t="n">
        <v>0.4</v>
      </c>
      <c r="J605" s="0" t="n">
        <f aca="false">CONVERT(G605,"m^2","ha")</f>
        <v>0.1406032</v>
      </c>
      <c r="K605" s="0" t="b">
        <f aca="false">IF(J605&gt;(I605*2),((ROUNDDOWN(J605/I605,0))-1))</f>
        <v>0</v>
      </c>
    </row>
    <row r="606" customFormat="false" ht="12.75" hidden="false" customHeight="false" outlineLevel="0" collapsed="false">
      <c r="A606" s="5" t="n">
        <v>933</v>
      </c>
      <c r="B606" s="6" t="s">
        <v>1999</v>
      </c>
      <c r="C606" s="6" t="s">
        <v>89</v>
      </c>
      <c r="D606" s="6" t="s">
        <v>2000</v>
      </c>
      <c r="E606" s="6" t="s">
        <v>14</v>
      </c>
      <c r="F606" s="6" t="n">
        <v>807.21613846</v>
      </c>
      <c r="G606" s="6" t="n">
        <v>807.216</v>
      </c>
      <c r="H606" s="6" t="s">
        <v>792</v>
      </c>
      <c r="I606" s="0" t="n">
        <v>0.4</v>
      </c>
      <c r="J606" s="0" t="n">
        <f aca="false">CONVERT(G606,"m^2","ha")</f>
        <v>0.0807216</v>
      </c>
      <c r="K606" s="0" t="b">
        <f aca="false">IF(J606&gt;(I606*2),((ROUNDDOWN(J606/I606,0))-1))</f>
        <v>0</v>
      </c>
    </row>
    <row r="607" customFormat="false" ht="12.75" hidden="false" customHeight="false" outlineLevel="0" collapsed="false">
      <c r="A607" s="5" t="n">
        <v>935</v>
      </c>
      <c r="B607" s="6" t="s">
        <v>2001</v>
      </c>
      <c r="C607" s="6" t="s">
        <v>12</v>
      </c>
      <c r="D607" s="6" t="s">
        <v>2002</v>
      </c>
      <c r="E607" s="6" t="s">
        <v>14</v>
      </c>
      <c r="F607" s="6" t="n">
        <v>1691.231139975</v>
      </c>
      <c r="G607" s="6" t="n">
        <v>1691.231</v>
      </c>
      <c r="H607" s="6" t="s">
        <v>792</v>
      </c>
      <c r="I607" s="0" t="n">
        <v>0.4</v>
      </c>
      <c r="J607" s="0" t="n">
        <f aca="false">CONVERT(G607,"m^2","ha")</f>
        <v>0.1691231</v>
      </c>
      <c r="K607" s="0" t="b">
        <f aca="false">IF(J607&gt;(I607*2),((ROUNDDOWN(J607/I607,0))-1))</f>
        <v>0</v>
      </c>
    </row>
    <row r="608" customFormat="false" ht="12.75" hidden="false" customHeight="false" outlineLevel="0" collapsed="false">
      <c r="A608" s="5" t="n">
        <v>936</v>
      </c>
      <c r="B608" s="6" t="s">
        <v>2003</v>
      </c>
      <c r="C608" s="6" t="s">
        <v>12</v>
      </c>
      <c r="D608" s="6" t="s">
        <v>2004</v>
      </c>
      <c r="E608" s="6" t="s">
        <v>14</v>
      </c>
      <c r="F608" s="6" t="n">
        <v>1878.392596615</v>
      </c>
      <c r="G608" s="6" t="n">
        <v>1878.393</v>
      </c>
      <c r="H608" s="6" t="s">
        <v>792</v>
      </c>
      <c r="I608" s="0" t="n">
        <v>0.4</v>
      </c>
      <c r="J608" s="0" t="n">
        <f aca="false">CONVERT(G608,"m^2","ha")</f>
        <v>0.1878393</v>
      </c>
      <c r="K608" s="0" t="b">
        <f aca="false">IF(J608&gt;(I608*2),((ROUNDDOWN(J608/I608,0))-1))</f>
        <v>0</v>
      </c>
    </row>
    <row r="609" customFormat="false" ht="12.75" hidden="false" customHeight="false" outlineLevel="0" collapsed="false">
      <c r="A609" s="5" t="n">
        <v>937</v>
      </c>
      <c r="B609" s="6" t="s">
        <v>2005</v>
      </c>
      <c r="C609" s="6" t="s">
        <v>12</v>
      </c>
      <c r="D609" s="6" t="s">
        <v>2006</v>
      </c>
      <c r="E609" s="6" t="s">
        <v>14</v>
      </c>
      <c r="F609" s="6" t="n">
        <v>1801.24076085</v>
      </c>
      <c r="G609" s="6" t="n">
        <v>1801.241</v>
      </c>
      <c r="H609" s="6" t="s">
        <v>792</v>
      </c>
      <c r="I609" s="0" t="n">
        <v>0.4</v>
      </c>
      <c r="J609" s="0" t="n">
        <f aca="false">CONVERT(G609,"m^2","ha")</f>
        <v>0.1801241</v>
      </c>
      <c r="K609" s="0" t="b">
        <f aca="false">IF(J609&gt;(I609*2),((ROUNDDOWN(J609/I609,0))-1))</f>
        <v>0</v>
      </c>
    </row>
    <row r="610" customFormat="false" ht="12.75" hidden="false" customHeight="false" outlineLevel="0" collapsed="false">
      <c r="A610" s="5" t="n">
        <v>939</v>
      </c>
      <c r="B610" s="6" t="s">
        <v>2007</v>
      </c>
      <c r="C610" s="6" t="s">
        <v>12</v>
      </c>
      <c r="D610" s="6" t="s">
        <v>2008</v>
      </c>
      <c r="E610" s="6" t="s">
        <v>14</v>
      </c>
      <c r="F610" s="6" t="n">
        <v>5631.54530393</v>
      </c>
      <c r="G610" s="6" t="n">
        <v>5631.545</v>
      </c>
      <c r="H610" s="6" t="s">
        <v>792</v>
      </c>
      <c r="I610" s="0" t="n">
        <v>0.4</v>
      </c>
      <c r="J610" s="0" t="n">
        <f aca="false">CONVERT(G610,"m^2","ha")</f>
        <v>0.5631545</v>
      </c>
      <c r="K610" s="0" t="b">
        <f aca="false">IF(J610&gt;(I610*2),((ROUNDDOWN(J610/I610,0))-1))</f>
        <v>0</v>
      </c>
    </row>
    <row r="611" customFormat="false" ht="12.75" hidden="false" customHeight="false" outlineLevel="0" collapsed="false">
      <c r="A611" s="5" t="n">
        <v>940</v>
      </c>
      <c r="B611" s="6" t="s">
        <v>2009</v>
      </c>
      <c r="C611" s="6" t="s">
        <v>12</v>
      </c>
      <c r="D611" s="6" t="s">
        <v>2010</v>
      </c>
      <c r="E611" s="6" t="s">
        <v>14</v>
      </c>
      <c r="F611" s="6" t="n">
        <v>701.101825845</v>
      </c>
      <c r="G611" s="6" t="n">
        <v>701.102</v>
      </c>
      <c r="H611" s="6" t="s">
        <v>792</v>
      </c>
      <c r="I611" s="0" t="n">
        <v>0.4</v>
      </c>
      <c r="J611" s="0" t="n">
        <f aca="false">CONVERT(G611,"m^2","ha")</f>
        <v>0.0701102</v>
      </c>
      <c r="K611" s="0" t="b">
        <f aca="false">IF(J611&gt;(I611*2),((ROUNDDOWN(J611/I611,0))-1))</f>
        <v>0</v>
      </c>
    </row>
    <row r="612" customFormat="false" ht="12.75" hidden="false" customHeight="false" outlineLevel="0" collapsed="false">
      <c r="A612" s="5" t="n">
        <v>941</v>
      </c>
      <c r="B612" s="6" t="s">
        <v>2011</v>
      </c>
      <c r="C612" s="6" t="s">
        <v>12</v>
      </c>
      <c r="D612" s="6" t="s">
        <v>2012</v>
      </c>
      <c r="E612" s="6" t="s">
        <v>14</v>
      </c>
      <c r="F612" s="6" t="n">
        <v>695.85165509</v>
      </c>
      <c r="G612" s="6" t="n">
        <v>695.852</v>
      </c>
      <c r="H612" s="6" t="s">
        <v>792</v>
      </c>
      <c r="I612" s="0" t="n">
        <v>0.4</v>
      </c>
      <c r="J612" s="0" t="n">
        <f aca="false">CONVERT(G612,"m^2","ha")</f>
        <v>0.0695852</v>
      </c>
      <c r="K612" s="0" t="b">
        <f aca="false">IF(J612&gt;(I612*2),((ROUNDDOWN(J612/I612,0))-1))</f>
        <v>0</v>
      </c>
    </row>
    <row r="613" customFormat="false" ht="12.75" hidden="false" customHeight="false" outlineLevel="0" collapsed="false">
      <c r="A613" s="5" t="n">
        <v>942</v>
      </c>
      <c r="B613" s="6" t="s">
        <v>2013</v>
      </c>
      <c r="C613" s="6" t="s">
        <v>12</v>
      </c>
      <c r="D613" s="6" t="s">
        <v>2014</v>
      </c>
      <c r="E613" s="6" t="s">
        <v>14</v>
      </c>
      <c r="F613" s="6" t="n">
        <v>868.503828925</v>
      </c>
      <c r="G613" s="6" t="n">
        <v>868.504</v>
      </c>
      <c r="H613" s="6" t="s">
        <v>792</v>
      </c>
      <c r="I613" s="0" t="n">
        <v>0.4</v>
      </c>
      <c r="J613" s="0" t="n">
        <f aca="false">CONVERT(G613,"m^2","ha")</f>
        <v>0.0868504</v>
      </c>
      <c r="K613" s="0" t="b">
        <f aca="false">IF(J613&gt;(I613*2),((ROUNDDOWN(J613/I613,0))-1))</f>
        <v>0</v>
      </c>
    </row>
    <row r="614" customFormat="false" ht="12.75" hidden="false" customHeight="false" outlineLevel="0" collapsed="false">
      <c r="A614" s="5" t="n">
        <v>954</v>
      </c>
      <c r="B614" s="6" t="s">
        <v>2015</v>
      </c>
      <c r="C614" s="6" t="s">
        <v>12</v>
      </c>
      <c r="D614" s="6" t="s">
        <v>2016</v>
      </c>
      <c r="E614" s="6" t="s">
        <v>14</v>
      </c>
      <c r="F614" s="6" t="n">
        <v>1084.08648721</v>
      </c>
      <c r="G614" s="6" t="n">
        <v>1082.765</v>
      </c>
      <c r="H614" s="6" t="s">
        <v>792</v>
      </c>
      <c r="I614" s="0" t="n">
        <v>0.4</v>
      </c>
      <c r="J614" s="0" t="n">
        <f aca="false">CONVERT(G614,"m^2","ha")</f>
        <v>0.1082765</v>
      </c>
      <c r="K614" s="0" t="b">
        <f aca="false">IF(J614&gt;(I614*2),((ROUNDDOWN(J614/I614,0))-1))</f>
        <v>0</v>
      </c>
    </row>
    <row r="615" customFormat="false" ht="12.75" hidden="false" customHeight="false" outlineLevel="0" collapsed="false">
      <c r="A615" s="5" t="n">
        <v>955</v>
      </c>
      <c r="B615" s="6" t="s">
        <v>2017</v>
      </c>
      <c r="C615" s="6" t="s">
        <v>12</v>
      </c>
      <c r="D615" s="6" t="s">
        <v>2018</v>
      </c>
      <c r="E615" s="6" t="s">
        <v>14</v>
      </c>
      <c r="F615" s="6" t="n">
        <v>655.756362675</v>
      </c>
      <c r="G615" s="6" t="n">
        <v>655.756</v>
      </c>
      <c r="H615" s="6" t="s">
        <v>792</v>
      </c>
      <c r="I615" s="0" t="n">
        <v>0.4</v>
      </c>
      <c r="J615" s="0" t="n">
        <f aca="false">CONVERT(G615,"m^2","ha")</f>
        <v>0.0655756</v>
      </c>
      <c r="K615" s="0" t="b">
        <f aca="false">IF(J615&gt;(I615*2),((ROUNDDOWN(J615/I615,0))-1))</f>
        <v>0</v>
      </c>
    </row>
    <row r="616" customFormat="false" ht="12.75" hidden="false" customHeight="false" outlineLevel="0" collapsed="false">
      <c r="A616" s="5" t="n">
        <v>957</v>
      </c>
      <c r="B616" s="6" t="s">
        <v>2019</v>
      </c>
      <c r="C616" s="6" t="s">
        <v>12</v>
      </c>
      <c r="D616" s="6" t="s">
        <v>2020</v>
      </c>
      <c r="E616" s="6" t="s">
        <v>14</v>
      </c>
      <c r="F616" s="6" t="n">
        <v>2701.06832354</v>
      </c>
      <c r="G616" s="6" t="n">
        <v>2700.817</v>
      </c>
      <c r="H616" s="6" t="s">
        <v>792</v>
      </c>
      <c r="I616" s="0" t="n">
        <v>0.4</v>
      </c>
      <c r="J616" s="0" t="n">
        <f aca="false">CONVERT(G616,"m^2","ha")</f>
        <v>0.2700817</v>
      </c>
      <c r="K616" s="0" t="b">
        <f aca="false">IF(J616&gt;(I616*2),((ROUNDDOWN(J616/I616,0))-1))</f>
        <v>0</v>
      </c>
    </row>
    <row r="617" customFormat="false" ht="12.75" hidden="false" customHeight="false" outlineLevel="0" collapsed="false">
      <c r="A617" s="5" t="n">
        <v>958</v>
      </c>
      <c r="B617" s="6" t="s">
        <v>2021</v>
      </c>
      <c r="C617" s="6" t="s">
        <v>12</v>
      </c>
      <c r="D617" s="6" t="s">
        <v>2022</v>
      </c>
      <c r="E617" s="6" t="s">
        <v>14</v>
      </c>
      <c r="F617" s="6" t="n">
        <v>1297.31701762</v>
      </c>
      <c r="G617" s="6" t="n">
        <v>1296.985</v>
      </c>
      <c r="H617" s="6" t="s">
        <v>792</v>
      </c>
      <c r="I617" s="0" t="n">
        <v>0.4</v>
      </c>
      <c r="J617" s="0" t="n">
        <f aca="false">CONVERT(G617,"m^2","ha")</f>
        <v>0.1296985</v>
      </c>
      <c r="K617" s="0" t="b">
        <f aca="false">IF(J617&gt;(I617*2),((ROUNDDOWN(J617/I617,0))-1))</f>
        <v>0</v>
      </c>
    </row>
    <row r="618" customFormat="false" ht="12.75" hidden="false" customHeight="false" outlineLevel="0" collapsed="false">
      <c r="A618" s="5" t="n">
        <v>959</v>
      </c>
      <c r="B618" s="6" t="s">
        <v>2023</v>
      </c>
      <c r="C618" s="6" t="s">
        <v>12</v>
      </c>
      <c r="D618" s="6" t="s">
        <v>2024</v>
      </c>
      <c r="E618" s="6" t="s">
        <v>14</v>
      </c>
      <c r="F618" s="6" t="n">
        <v>1145.302435995</v>
      </c>
      <c r="G618" s="6" t="n">
        <v>1144.566</v>
      </c>
      <c r="H618" s="6" t="s">
        <v>792</v>
      </c>
      <c r="I618" s="0" t="n">
        <v>0.4</v>
      </c>
      <c r="J618" s="0" t="n">
        <f aca="false">CONVERT(G618,"m^2","ha")</f>
        <v>0.1144566</v>
      </c>
      <c r="K618" s="0" t="b">
        <f aca="false">IF(J618&gt;(I618*2),((ROUNDDOWN(J618/I618,0))-1))</f>
        <v>0</v>
      </c>
    </row>
    <row r="619" customFormat="false" ht="12.75" hidden="false" customHeight="false" outlineLevel="0" collapsed="false">
      <c r="A619" s="5" t="n">
        <v>960</v>
      </c>
      <c r="B619" s="6" t="s">
        <v>2025</v>
      </c>
      <c r="C619" s="6" t="s">
        <v>12</v>
      </c>
      <c r="D619" s="6" t="s">
        <v>2026</v>
      </c>
      <c r="E619" s="6" t="s">
        <v>14</v>
      </c>
      <c r="F619" s="6" t="n">
        <v>1552.255543235</v>
      </c>
      <c r="G619" s="6" t="n">
        <v>1552.075</v>
      </c>
      <c r="H619" s="6" t="s">
        <v>792</v>
      </c>
      <c r="I619" s="0" t="n">
        <v>0.4</v>
      </c>
      <c r="J619" s="0" t="n">
        <f aca="false">CONVERT(G619,"m^2","ha")</f>
        <v>0.1552075</v>
      </c>
      <c r="K619" s="0" t="b">
        <f aca="false">IF(J619&gt;(I619*2),((ROUNDDOWN(J619/I619,0))-1))</f>
        <v>0</v>
      </c>
    </row>
    <row r="620" customFormat="false" ht="12.75" hidden="false" customHeight="false" outlineLevel="0" collapsed="false">
      <c r="A620" s="5" t="n">
        <v>961</v>
      </c>
      <c r="B620" s="6" t="s">
        <v>2027</v>
      </c>
      <c r="C620" s="6" t="s">
        <v>12</v>
      </c>
      <c r="D620" s="6" t="s">
        <v>2028</v>
      </c>
      <c r="E620" s="6" t="s">
        <v>14</v>
      </c>
      <c r="F620" s="6" t="n">
        <v>865.903083515</v>
      </c>
      <c r="G620" s="6" t="n">
        <v>865.903</v>
      </c>
      <c r="H620" s="6" t="s">
        <v>792</v>
      </c>
      <c r="I620" s="0" t="n">
        <v>0.4</v>
      </c>
      <c r="J620" s="0" t="n">
        <f aca="false">CONVERT(G620,"m^2","ha")</f>
        <v>0.0865903</v>
      </c>
      <c r="K620" s="0" t="b">
        <f aca="false">IF(J620&gt;(I620*2),((ROUNDDOWN(J620/I620,0))-1))</f>
        <v>0</v>
      </c>
    </row>
    <row r="621" customFormat="false" ht="12.75" hidden="false" customHeight="false" outlineLevel="0" collapsed="false">
      <c r="A621" s="5" t="n">
        <v>962</v>
      </c>
      <c r="B621" s="6" t="s">
        <v>2029</v>
      </c>
      <c r="C621" s="6" t="s">
        <v>12</v>
      </c>
      <c r="D621" s="6" t="s">
        <v>2030</v>
      </c>
      <c r="E621" s="6" t="s">
        <v>14</v>
      </c>
      <c r="F621" s="6" t="n">
        <v>830.237550145</v>
      </c>
      <c r="G621" s="6" t="n">
        <v>830.238</v>
      </c>
      <c r="H621" s="6" t="s">
        <v>792</v>
      </c>
      <c r="I621" s="0" t="n">
        <v>0.4</v>
      </c>
      <c r="J621" s="0" t="n">
        <f aca="false">CONVERT(G621,"m^2","ha")</f>
        <v>0.0830238</v>
      </c>
      <c r="K621" s="0" t="b">
        <f aca="false">IF(J621&gt;(I621*2),((ROUNDDOWN(J621/I621,0))-1))</f>
        <v>0</v>
      </c>
    </row>
    <row r="622" customFormat="false" ht="12.75" hidden="false" customHeight="false" outlineLevel="0" collapsed="false">
      <c r="A622" s="5" t="n">
        <v>963</v>
      </c>
      <c r="B622" s="6" t="s">
        <v>2031</v>
      </c>
      <c r="C622" s="6" t="s">
        <v>12</v>
      </c>
      <c r="D622" s="6" t="s">
        <v>2032</v>
      </c>
      <c r="E622" s="6" t="s">
        <v>14</v>
      </c>
      <c r="F622" s="6" t="n">
        <v>864.13988788</v>
      </c>
      <c r="G622" s="6" t="n">
        <v>864.14</v>
      </c>
      <c r="H622" s="6" t="s">
        <v>792</v>
      </c>
      <c r="I622" s="0" t="n">
        <v>0.4</v>
      </c>
      <c r="J622" s="0" t="n">
        <f aca="false">CONVERT(G622,"m^2","ha")</f>
        <v>0.086414</v>
      </c>
      <c r="K622" s="0" t="b">
        <f aca="false">IF(J622&gt;(I622*2),((ROUNDDOWN(J622/I622,0))-1))</f>
        <v>0</v>
      </c>
    </row>
    <row r="623" customFormat="false" ht="12.75" hidden="false" customHeight="false" outlineLevel="0" collapsed="false">
      <c r="A623" s="5" t="n">
        <v>964</v>
      </c>
      <c r="B623" s="6" t="s">
        <v>2033</v>
      </c>
      <c r="C623" s="6" t="s">
        <v>12</v>
      </c>
      <c r="D623" s="6" t="s">
        <v>2034</v>
      </c>
      <c r="E623" s="6" t="s">
        <v>14</v>
      </c>
      <c r="F623" s="6" t="n">
        <v>4708.26469825</v>
      </c>
      <c r="G623" s="6" t="n">
        <v>4708.265</v>
      </c>
      <c r="H623" s="6" t="s">
        <v>792</v>
      </c>
      <c r="I623" s="0" t="n">
        <v>0.4</v>
      </c>
      <c r="J623" s="0" t="n">
        <f aca="false">CONVERT(G623,"m^2","ha")</f>
        <v>0.4708265</v>
      </c>
      <c r="K623" s="0" t="b">
        <f aca="false">IF(J623&gt;(I623*2),((ROUNDDOWN(J623/I623,0))-1))</f>
        <v>0</v>
      </c>
    </row>
    <row r="624" customFormat="false" ht="12.75" hidden="false" customHeight="false" outlineLevel="0" collapsed="false">
      <c r="A624" s="5" t="n">
        <v>965</v>
      </c>
      <c r="B624" s="6" t="s">
        <v>2035</v>
      </c>
      <c r="C624" s="6" t="s">
        <v>12</v>
      </c>
      <c r="D624" s="6" t="s">
        <v>2036</v>
      </c>
      <c r="E624" s="6" t="s">
        <v>14</v>
      </c>
      <c r="F624" s="6" t="n">
        <v>918.8587345</v>
      </c>
      <c r="G624" s="6" t="n">
        <v>919.115</v>
      </c>
      <c r="H624" s="6" t="s">
        <v>792</v>
      </c>
      <c r="I624" s="0" t="n">
        <v>0.4</v>
      </c>
      <c r="J624" s="0" t="n">
        <f aca="false">CONVERT(G624,"m^2","ha")</f>
        <v>0.0919115</v>
      </c>
      <c r="K624" s="0" t="b">
        <f aca="false">IF(J624&gt;(I624*2),((ROUNDDOWN(J624/I624,0))-1))</f>
        <v>0</v>
      </c>
    </row>
    <row r="625" customFormat="false" ht="12.75" hidden="false" customHeight="false" outlineLevel="0" collapsed="false">
      <c r="A625" s="5" t="n">
        <v>966</v>
      </c>
      <c r="B625" s="6" t="s">
        <v>2037</v>
      </c>
      <c r="C625" s="6" t="s">
        <v>12</v>
      </c>
      <c r="D625" s="6" t="s">
        <v>2038</v>
      </c>
      <c r="E625" s="6" t="s">
        <v>14</v>
      </c>
      <c r="F625" s="6" t="n">
        <v>1200.1768623</v>
      </c>
      <c r="G625" s="6" t="n">
        <v>1200.177</v>
      </c>
      <c r="H625" s="6" t="s">
        <v>792</v>
      </c>
      <c r="I625" s="0" t="n">
        <v>0.4</v>
      </c>
      <c r="J625" s="0" t="n">
        <f aca="false">CONVERT(G625,"m^2","ha")</f>
        <v>0.1200177</v>
      </c>
      <c r="K625" s="0" t="b">
        <f aca="false">IF(J625&gt;(I625*2),((ROUNDDOWN(J625/I625,0))-1))</f>
        <v>0</v>
      </c>
    </row>
    <row r="626" customFormat="false" ht="12.75" hidden="false" customHeight="false" outlineLevel="0" collapsed="false">
      <c r="A626" s="5" t="n">
        <v>967</v>
      </c>
      <c r="B626" s="6" t="s">
        <v>2039</v>
      </c>
      <c r="C626" s="6" t="s">
        <v>12</v>
      </c>
      <c r="D626" s="6" t="s">
        <v>2040</v>
      </c>
      <c r="E626" s="6" t="s">
        <v>14</v>
      </c>
      <c r="F626" s="6" t="n">
        <v>856.119670285</v>
      </c>
      <c r="G626" s="6" t="n">
        <v>856.12</v>
      </c>
      <c r="H626" s="6" t="s">
        <v>792</v>
      </c>
      <c r="I626" s="0" t="n">
        <v>0.4</v>
      </c>
      <c r="J626" s="0" t="n">
        <f aca="false">CONVERT(G626,"m^2","ha")</f>
        <v>0.085612</v>
      </c>
      <c r="K626" s="0" t="b">
        <f aca="false">IF(J626&gt;(I626*2),((ROUNDDOWN(J626/I626,0))-1))</f>
        <v>0</v>
      </c>
    </row>
    <row r="627" customFormat="false" ht="12.75" hidden="false" customHeight="false" outlineLevel="0" collapsed="false">
      <c r="A627" s="5" t="n">
        <v>968</v>
      </c>
      <c r="B627" s="6" t="s">
        <v>2041</v>
      </c>
      <c r="C627" s="6" t="s">
        <v>12</v>
      </c>
      <c r="D627" s="6" t="s">
        <v>2042</v>
      </c>
      <c r="E627" s="6" t="s">
        <v>14</v>
      </c>
      <c r="F627" s="6" t="n">
        <v>844.737588725</v>
      </c>
      <c r="G627" s="6" t="n">
        <v>844.738</v>
      </c>
      <c r="H627" s="6" t="s">
        <v>792</v>
      </c>
      <c r="I627" s="0" t="n">
        <v>0.4</v>
      </c>
      <c r="J627" s="0" t="n">
        <f aca="false">CONVERT(G627,"m^2","ha")</f>
        <v>0.0844738</v>
      </c>
      <c r="K627" s="0" t="b">
        <f aca="false">IF(J627&gt;(I627*2),((ROUNDDOWN(J627/I627,0))-1))</f>
        <v>0</v>
      </c>
    </row>
    <row r="628" customFormat="false" ht="12.75" hidden="false" customHeight="false" outlineLevel="0" collapsed="false">
      <c r="A628" s="5" t="n">
        <v>969</v>
      </c>
      <c r="B628" s="6" t="s">
        <v>2043</v>
      </c>
      <c r="C628" s="6" t="s">
        <v>12</v>
      </c>
      <c r="D628" s="6" t="s">
        <v>2044</v>
      </c>
      <c r="E628" s="6" t="s">
        <v>14</v>
      </c>
      <c r="F628" s="6" t="n">
        <v>5571.429506895</v>
      </c>
      <c r="G628" s="6" t="n">
        <v>5571.43</v>
      </c>
      <c r="H628" s="6" t="s">
        <v>792</v>
      </c>
      <c r="I628" s="0" t="n">
        <v>0.4</v>
      </c>
      <c r="J628" s="0" t="n">
        <f aca="false">CONVERT(G628,"m^2","ha")</f>
        <v>0.557143</v>
      </c>
      <c r="K628" s="0" t="b">
        <f aca="false">IF(J628&gt;(I628*2),((ROUNDDOWN(J628/I628,0))-1))</f>
        <v>0</v>
      </c>
    </row>
    <row r="629" customFormat="false" ht="12.75" hidden="false" customHeight="false" outlineLevel="0" collapsed="false">
      <c r="A629" s="5" t="n">
        <v>970</v>
      </c>
      <c r="B629" s="6" t="s">
        <v>2045</v>
      </c>
      <c r="C629" s="6" t="s">
        <v>12</v>
      </c>
      <c r="D629" s="6" t="s">
        <v>2046</v>
      </c>
      <c r="E629" s="6" t="s">
        <v>14</v>
      </c>
      <c r="F629" s="6" t="n">
        <v>18004.18651377</v>
      </c>
      <c r="G629" s="6" t="n">
        <v>18004.187</v>
      </c>
      <c r="H629" s="6" t="s">
        <v>792</v>
      </c>
      <c r="I629" s="0" t="n">
        <v>0.4</v>
      </c>
      <c r="J629" s="0" t="n">
        <f aca="false">CONVERT(G629,"m^2","ha")</f>
        <v>1.8004187</v>
      </c>
      <c r="K629" s="0" t="n">
        <f aca="false">IF(J629&gt;(I629*2),((ROUNDDOWN(J629/I629,0))-1))</f>
        <v>3</v>
      </c>
    </row>
    <row r="630" customFormat="false" ht="12.75" hidden="false" customHeight="false" outlineLevel="0" collapsed="false">
      <c r="A630" s="5" t="n">
        <v>973</v>
      </c>
      <c r="B630" s="6" t="s">
        <v>2047</v>
      </c>
      <c r="C630" s="6" t="s">
        <v>12</v>
      </c>
      <c r="D630" s="6" t="s">
        <v>2048</v>
      </c>
      <c r="E630" s="6" t="s">
        <v>14</v>
      </c>
      <c r="F630" s="6" t="n">
        <v>2321.283344105</v>
      </c>
      <c r="G630" s="6" t="n">
        <v>2321.283</v>
      </c>
      <c r="H630" s="6" t="s">
        <v>792</v>
      </c>
      <c r="I630" s="0" t="n">
        <v>0.4</v>
      </c>
      <c r="J630" s="0" t="n">
        <f aca="false">CONVERT(G630,"m^2","ha")</f>
        <v>0.2321283</v>
      </c>
      <c r="K630" s="0" t="b">
        <f aca="false">IF(J630&gt;(I630*2),((ROUNDDOWN(J630/I630,0))-1))</f>
        <v>0</v>
      </c>
    </row>
    <row r="631" customFormat="false" ht="12.75" hidden="false" customHeight="false" outlineLevel="0" collapsed="false">
      <c r="A631" s="5" t="n">
        <v>974</v>
      </c>
      <c r="B631" s="6" t="s">
        <v>2049</v>
      </c>
      <c r="C631" s="6" t="s">
        <v>12</v>
      </c>
      <c r="D631" s="6" t="s">
        <v>2050</v>
      </c>
      <c r="E631" s="6" t="s">
        <v>14</v>
      </c>
      <c r="F631" s="6" t="n">
        <v>2943.13983344</v>
      </c>
      <c r="G631" s="6" t="n">
        <v>2943.14</v>
      </c>
      <c r="H631" s="6" t="s">
        <v>792</v>
      </c>
      <c r="I631" s="0" t="n">
        <v>0.4</v>
      </c>
      <c r="J631" s="0" t="n">
        <f aca="false">CONVERT(G631,"m^2","ha")</f>
        <v>0.294314</v>
      </c>
      <c r="K631" s="0" t="b">
        <f aca="false">IF(J631&gt;(I631*2),((ROUNDDOWN(J631/I631,0))-1))</f>
        <v>0</v>
      </c>
    </row>
    <row r="632" customFormat="false" ht="12.75" hidden="false" customHeight="false" outlineLevel="0" collapsed="false">
      <c r="A632" s="5" t="n">
        <v>976</v>
      </c>
      <c r="B632" s="6" t="s">
        <v>2051</v>
      </c>
      <c r="C632" s="6" t="s">
        <v>12</v>
      </c>
      <c r="D632" s="6" t="s">
        <v>2052</v>
      </c>
      <c r="E632" s="6" t="s">
        <v>14</v>
      </c>
      <c r="F632" s="6" t="n">
        <v>4459.201753585</v>
      </c>
      <c r="G632" s="6" t="n">
        <v>4458.698</v>
      </c>
      <c r="H632" s="6" t="s">
        <v>792</v>
      </c>
      <c r="I632" s="0" t="n">
        <v>0.4</v>
      </c>
      <c r="J632" s="0" t="n">
        <f aca="false">CONVERT(G632,"m^2","ha")</f>
        <v>0.4458698</v>
      </c>
      <c r="K632" s="0" t="b">
        <f aca="false">IF(J632&gt;(I632*2),((ROUNDDOWN(J632/I632,0))-1))</f>
        <v>0</v>
      </c>
    </row>
    <row r="633" customFormat="false" ht="12.75" hidden="false" customHeight="false" outlineLevel="0" collapsed="false">
      <c r="A633" s="5" t="n">
        <v>977</v>
      </c>
      <c r="B633" s="6" t="s">
        <v>2053</v>
      </c>
      <c r="C633" s="6" t="s">
        <v>12</v>
      </c>
      <c r="D633" s="6" t="s">
        <v>2054</v>
      </c>
      <c r="E633" s="6" t="s">
        <v>14</v>
      </c>
      <c r="F633" s="6" t="n">
        <v>3254.776956445</v>
      </c>
      <c r="G633" s="6" t="n">
        <v>3254.777</v>
      </c>
      <c r="H633" s="6" t="s">
        <v>792</v>
      </c>
      <c r="I633" s="0" t="n">
        <v>0.4</v>
      </c>
      <c r="J633" s="0" t="n">
        <f aca="false">CONVERT(G633,"m^2","ha")</f>
        <v>0.3254777</v>
      </c>
      <c r="K633" s="0" t="b">
        <f aca="false">IF(J633&gt;(I633*2),((ROUNDDOWN(J633/I633,0))-1))</f>
        <v>0</v>
      </c>
    </row>
    <row r="634" customFormat="false" ht="12.75" hidden="false" customHeight="false" outlineLevel="0" collapsed="false">
      <c r="A634" s="5" t="n">
        <v>978</v>
      </c>
      <c r="B634" s="6" t="s">
        <v>2055</v>
      </c>
      <c r="C634" s="6" t="s">
        <v>12</v>
      </c>
      <c r="D634" s="6" t="s">
        <v>2056</v>
      </c>
      <c r="E634" s="6" t="s">
        <v>14</v>
      </c>
      <c r="F634" s="6" t="n">
        <v>4193.348334325</v>
      </c>
      <c r="G634" s="6" t="n">
        <v>4192.149</v>
      </c>
      <c r="H634" s="6" t="s">
        <v>792</v>
      </c>
      <c r="I634" s="0" t="n">
        <v>0.4</v>
      </c>
      <c r="J634" s="0" t="n">
        <f aca="false">CONVERT(G634,"m^2","ha")</f>
        <v>0.4192149</v>
      </c>
      <c r="K634" s="0" t="b">
        <f aca="false">IF(J634&gt;(I634*2),((ROUNDDOWN(J634/I634,0))-1))</f>
        <v>0</v>
      </c>
    </row>
    <row r="635" customFormat="false" ht="12.75" hidden="false" customHeight="false" outlineLevel="0" collapsed="false">
      <c r="A635" s="5" t="n">
        <v>986</v>
      </c>
      <c r="B635" s="6" t="s">
        <v>2057</v>
      </c>
      <c r="C635" s="6" t="s">
        <v>12</v>
      </c>
      <c r="D635" s="6" t="s">
        <v>2058</v>
      </c>
      <c r="E635" s="6" t="s">
        <v>14</v>
      </c>
      <c r="F635" s="6" t="n">
        <v>2977.435105475</v>
      </c>
      <c r="G635" s="6" t="n">
        <v>2976.808</v>
      </c>
      <c r="H635" s="6" t="s">
        <v>792</v>
      </c>
      <c r="I635" s="0" t="n">
        <v>0.4</v>
      </c>
      <c r="J635" s="0" t="n">
        <f aca="false">CONVERT(G635,"m^2","ha")</f>
        <v>0.2976808</v>
      </c>
      <c r="K635" s="0" t="b">
        <f aca="false">IF(J635&gt;(I635*2),((ROUNDDOWN(J635/I635,0))-1))</f>
        <v>0</v>
      </c>
    </row>
    <row r="636" customFormat="false" ht="12.75" hidden="false" customHeight="false" outlineLevel="0" collapsed="false">
      <c r="A636" s="5" t="n">
        <v>988</v>
      </c>
      <c r="B636" s="6" t="s">
        <v>2059</v>
      </c>
      <c r="C636" s="6" t="s">
        <v>12</v>
      </c>
      <c r="D636" s="6" t="s">
        <v>2060</v>
      </c>
      <c r="E636" s="6" t="s">
        <v>14</v>
      </c>
      <c r="F636" s="6" t="n">
        <v>3952.8369597</v>
      </c>
      <c r="G636" s="6" t="n">
        <v>3953.857</v>
      </c>
      <c r="H636" s="6" t="s">
        <v>792</v>
      </c>
      <c r="I636" s="0" t="n">
        <v>0.4</v>
      </c>
      <c r="J636" s="0" t="n">
        <f aca="false">CONVERT(G636,"m^2","ha")</f>
        <v>0.3953857</v>
      </c>
      <c r="K636" s="0" t="b">
        <f aca="false">IF(J636&gt;(I636*2),((ROUNDDOWN(J636/I636,0))-1))</f>
        <v>0</v>
      </c>
    </row>
    <row r="637" customFormat="false" ht="12.75" hidden="false" customHeight="false" outlineLevel="0" collapsed="false">
      <c r="A637" s="5" t="n">
        <v>991</v>
      </c>
      <c r="B637" s="6" t="s">
        <v>2061</v>
      </c>
      <c r="C637" s="6" t="s">
        <v>12</v>
      </c>
      <c r="D637" s="6" t="s">
        <v>2062</v>
      </c>
      <c r="E637" s="6" t="s">
        <v>14</v>
      </c>
      <c r="F637" s="6" t="n">
        <v>18716.758685855</v>
      </c>
      <c r="G637" s="6" t="n">
        <v>18716.759</v>
      </c>
      <c r="H637" s="6" t="s">
        <v>792</v>
      </c>
      <c r="I637" s="0" t="n">
        <v>0.4</v>
      </c>
      <c r="J637" s="0" t="n">
        <f aca="false">CONVERT(G637,"m^2","ha")</f>
        <v>1.8716759</v>
      </c>
      <c r="K637" s="0" t="n">
        <f aca="false">IF(J637&gt;(I637*2),((ROUNDDOWN(J637/I637,0))-1))</f>
        <v>3</v>
      </c>
    </row>
    <row r="638" customFormat="false" ht="12.75" hidden="false" customHeight="false" outlineLevel="0" collapsed="false">
      <c r="A638" s="5" t="n">
        <v>993</v>
      </c>
      <c r="B638" s="6" t="s">
        <v>2063</v>
      </c>
      <c r="C638" s="6" t="s">
        <v>12</v>
      </c>
      <c r="D638" s="6" t="s">
        <v>2064</v>
      </c>
      <c r="E638" s="6" t="s">
        <v>14</v>
      </c>
      <c r="F638" s="6" t="n">
        <v>11007.98928159</v>
      </c>
      <c r="G638" s="6" t="n">
        <v>11007.724</v>
      </c>
      <c r="H638" s="6" t="s">
        <v>792</v>
      </c>
      <c r="I638" s="0" t="n">
        <v>0.4</v>
      </c>
      <c r="J638" s="0" t="n">
        <f aca="false">CONVERT(G638,"m^2","ha")</f>
        <v>1.1007724</v>
      </c>
      <c r="K638" s="0" t="n">
        <f aca="false">IF(J638&gt;(I638*2),((ROUNDDOWN(J638/I638,0))-1))</f>
        <v>1</v>
      </c>
    </row>
    <row r="639" customFormat="false" ht="12.75" hidden="false" customHeight="false" outlineLevel="0" collapsed="false">
      <c r="A639" s="5" t="n">
        <v>994</v>
      </c>
      <c r="B639" s="6" t="s">
        <v>2065</v>
      </c>
      <c r="C639" s="6" t="s">
        <v>12</v>
      </c>
      <c r="D639" s="6" t="s">
        <v>2066</v>
      </c>
      <c r="E639" s="6" t="s">
        <v>14</v>
      </c>
      <c r="F639" s="6" t="n">
        <v>10154.81396618</v>
      </c>
      <c r="G639" s="6" t="n">
        <v>10153.423</v>
      </c>
      <c r="H639" s="6" t="s">
        <v>792</v>
      </c>
      <c r="I639" s="0" t="n">
        <v>0.4</v>
      </c>
      <c r="J639" s="0" t="n">
        <f aca="false">CONVERT(G639,"m^2","ha")</f>
        <v>1.0153423</v>
      </c>
      <c r="K639" s="0" t="n">
        <f aca="false">IF(J639&gt;(I639*2),((ROUNDDOWN(J639/I639,0))-1))</f>
        <v>1</v>
      </c>
    </row>
    <row r="640" customFormat="false" ht="12.75" hidden="false" customHeight="false" outlineLevel="0" collapsed="false">
      <c r="A640" s="5" t="n">
        <v>995</v>
      </c>
      <c r="B640" s="6" t="s">
        <v>2067</v>
      </c>
      <c r="C640" s="6" t="s">
        <v>12</v>
      </c>
      <c r="D640" s="6" t="s">
        <v>2068</v>
      </c>
      <c r="E640" s="6" t="s">
        <v>14</v>
      </c>
      <c r="F640" s="6" t="n">
        <v>11500.470630205</v>
      </c>
      <c r="G640" s="6" t="n">
        <v>11500.471</v>
      </c>
      <c r="H640" s="6" t="s">
        <v>792</v>
      </c>
      <c r="I640" s="0" t="n">
        <v>0.4</v>
      </c>
      <c r="J640" s="0" t="n">
        <f aca="false">CONVERT(G640,"m^2","ha")</f>
        <v>1.1500471</v>
      </c>
      <c r="K640" s="0" t="n">
        <f aca="false">IF(J640&gt;(I640*2),((ROUNDDOWN(J640/I640,0))-1))</f>
        <v>1</v>
      </c>
    </row>
    <row r="641" customFormat="false" ht="12.75" hidden="false" customHeight="false" outlineLevel="0" collapsed="false">
      <c r="A641" s="5" t="n">
        <v>996</v>
      </c>
      <c r="B641" s="6" t="s">
        <v>2069</v>
      </c>
      <c r="C641" s="6" t="s">
        <v>12</v>
      </c>
      <c r="D641" s="6" t="s">
        <v>2070</v>
      </c>
      <c r="E641" s="6" t="s">
        <v>14</v>
      </c>
      <c r="F641" s="6" t="n">
        <v>10673.35614902</v>
      </c>
      <c r="G641" s="6" t="n">
        <v>10673.147</v>
      </c>
      <c r="H641" s="6" t="s">
        <v>792</v>
      </c>
      <c r="I641" s="0" t="n">
        <v>0.4</v>
      </c>
      <c r="J641" s="0" t="n">
        <f aca="false">CONVERT(G641,"m^2","ha")</f>
        <v>1.0673147</v>
      </c>
      <c r="K641" s="0" t="n">
        <f aca="false">IF(J641&gt;(I641*2),((ROUNDDOWN(J641/I641,0))-1))</f>
        <v>1</v>
      </c>
    </row>
    <row r="642" customFormat="false" ht="12.75" hidden="false" customHeight="false" outlineLevel="0" collapsed="false">
      <c r="A642" s="5" t="n">
        <v>997</v>
      </c>
      <c r="B642" s="6" t="s">
        <v>2071</v>
      </c>
      <c r="C642" s="6" t="s">
        <v>12</v>
      </c>
      <c r="D642" s="6" t="s">
        <v>2072</v>
      </c>
      <c r="E642" s="6" t="s">
        <v>14</v>
      </c>
      <c r="F642" s="6" t="n">
        <v>10156.418823305</v>
      </c>
      <c r="G642" s="6" t="n">
        <v>10156.419</v>
      </c>
      <c r="H642" s="6" t="s">
        <v>792</v>
      </c>
      <c r="I642" s="0" t="n">
        <v>0.4</v>
      </c>
      <c r="J642" s="0" t="n">
        <f aca="false">CONVERT(G642,"m^2","ha")</f>
        <v>1.0156419</v>
      </c>
      <c r="K642" s="0" t="n">
        <f aca="false">IF(J642&gt;(I642*2),((ROUNDDOWN(J642/I642,0))-1))</f>
        <v>1</v>
      </c>
    </row>
    <row r="643" customFormat="false" ht="12.75" hidden="false" customHeight="false" outlineLevel="0" collapsed="false">
      <c r="A643" s="5" t="n">
        <v>1000</v>
      </c>
      <c r="B643" s="6" t="s">
        <v>2073</v>
      </c>
      <c r="C643" s="6" t="s">
        <v>12</v>
      </c>
      <c r="D643" s="6" t="s">
        <v>2074</v>
      </c>
      <c r="E643" s="6" t="s">
        <v>14</v>
      </c>
      <c r="F643" s="6" t="n">
        <v>1327.551744885</v>
      </c>
      <c r="G643" s="6" t="n">
        <v>1326.415</v>
      </c>
      <c r="H643" s="6" t="s">
        <v>792</v>
      </c>
      <c r="I643" s="0" t="n">
        <v>0.4</v>
      </c>
      <c r="J643" s="0" t="n">
        <f aca="false">CONVERT(G643,"m^2","ha")</f>
        <v>0.1326415</v>
      </c>
      <c r="K643" s="0" t="b">
        <f aca="false">IF(J643&gt;(I643*2),((ROUNDDOWN(J643/I643,0))-1))</f>
        <v>0</v>
      </c>
    </row>
    <row r="644" customFormat="false" ht="12.75" hidden="false" customHeight="false" outlineLevel="0" collapsed="false">
      <c r="A644" s="5" t="n">
        <v>1001</v>
      </c>
      <c r="B644" s="6" t="s">
        <v>2075</v>
      </c>
      <c r="C644" s="6" t="s">
        <v>12</v>
      </c>
      <c r="D644" s="6" t="s">
        <v>2076</v>
      </c>
      <c r="E644" s="6" t="s">
        <v>14</v>
      </c>
      <c r="F644" s="6" t="n">
        <v>912.0884418</v>
      </c>
      <c r="G644" s="6" t="n">
        <v>913.168</v>
      </c>
      <c r="H644" s="6" t="s">
        <v>792</v>
      </c>
      <c r="I644" s="0" t="n">
        <v>0.4</v>
      </c>
      <c r="J644" s="0" t="n">
        <f aca="false">CONVERT(G644,"m^2","ha")</f>
        <v>0.0913168</v>
      </c>
      <c r="K644" s="0" t="b">
        <f aca="false">IF(J644&gt;(I644*2),((ROUNDDOWN(J644/I644,0))-1))</f>
        <v>0</v>
      </c>
    </row>
    <row r="645" customFormat="false" ht="12.75" hidden="false" customHeight="false" outlineLevel="0" collapsed="false">
      <c r="A645" s="5" t="n">
        <v>1002</v>
      </c>
      <c r="B645" s="6" t="s">
        <v>2077</v>
      </c>
      <c r="C645" s="6" t="s">
        <v>12</v>
      </c>
      <c r="D645" s="6" t="s">
        <v>2078</v>
      </c>
      <c r="E645" s="6" t="s">
        <v>14</v>
      </c>
      <c r="F645" s="6" t="n">
        <v>980.90656889</v>
      </c>
      <c r="G645" s="6" t="n">
        <v>980.907</v>
      </c>
      <c r="H645" s="6" t="s">
        <v>792</v>
      </c>
      <c r="I645" s="0" t="n">
        <v>0.4</v>
      </c>
      <c r="J645" s="0" t="n">
        <f aca="false">CONVERT(G645,"m^2","ha")</f>
        <v>0.0980907</v>
      </c>
      <c r="K645" s="0" t="b">
        <f aca="false">IF(J645&gt;(I645*2),((ROUNDDOWN(J645/I645,0))-1))</f>
        <v>0</v>
      </c>
    </row>
    <row r="646" customFormat="false" ht="12.75" hidden="false" customHeight="false" outlineLevel="0" collapsed="false">
      <c r="A646" s="5" t="n">
        <v>1003</v>
      </c>
      <c r="B646" s="6" t="s">
        <v>2079</v>
      </c>
      <c r="C646" s="6" t="s">
        <v>12</v>
      </c>
      <c r="D646" s="6" t="s">
        <v>2080</v>
      </c>
      <c r="E646" s="6" t="s">
        <v>14</v>
      </c>
      <c r="F646" s="6" t="n">
        <v>710.30133999</v>
      </c>
      <c r="G646" s="6" t="n">
        <v>710.512</v>
      </c>
      <c r="H646" s="6" t="s">
        <v>792</v>
      </c>
      <c r="I646" s="0" t="n">
        <v>0.4</v>
      </c>
      <c r="J646" s="0" t="n">
        <f aca="false">CONVERT(G646,"m^2","ha")</f>
        <v>0.0710512</v>
      </c>
      <c r="K646" s="0" t="b">
        <f aca="false">IF(J646&gt;(I646*2),((ROUNDDOWN(J646/I646,0))-1))</f>
        <v>0</v>
      </c>
    </row>
    <row r="647" customFormat="false" ht="12.75" hidden="false" customHeight="false" outlineLevel="0" collapsed="false">
      <c r="A647" s="5" t="n">
        <v>1004</v>
      </c>
      <c r="B647" s="6" t="s">
        <v>2081</v>
      </c>
      <c r="C647" s="6" t="s">
        <v>12</v>
      </c>
      <c r="D647" s="6" t="s">
        <v>2082</v>
      </c>
      <c r="E647" s="6" t="s">
        <v>14</v>
      </c>
      <c r="F647" s="6" t="n">
        <v>1398.04218081</v>
      </c>
      <c r="G647" s="6" t="n">
        <v>1398.042</v>
      </c>
      <c r="H647" s="6" t="s">
        <v>792</v>
      </c>
      <c r="I647" s="0" t="n">
        <v>0.4</v>
      </c>
      <c r="J647" s="0" t="n">
        <f aca="false">CONVERT(G647,"m^2","ha")</f>
        <v>0.1398042</v>
      </c>
      <c r="K647" s="0" t="b">
        <f aca="false">IF(J647&gt;(I647*2),((ROUNDDOWN(J647/I647,0))-1))</f>
        <v>0</v>
      </c>
    </row>
    <row r="648" customFormat="false" ht="12.75" hidden="false" customHeight="false" outlineLevel="0" collapsed="false">
      <c r="A648" s="5" t="n">
        <v>1006</v>
      </c>
      <c r="B648" s="6" t="s">
        <v>2083</v>
      </c>
      <c r="C648" s="6" t="s">
        <v>12</v>
      </c>
      <c r="D648" s="6" t="s">
        <v>2084</v>
      </c>
      <c r="E648" s="6" t="s">
        <v>14</v>
      </c>
      <c r="F648" s="6" t="n">
        <v>933.577464765</v>
      </c>
      <c r="G648" s="6" t="n">
        <v>933.577</v>
      </c>
      <c r="H648" s="6" t="s">
        <v>792</v>
      </c>
      <c r="I648" s="0" t="n">
        <v>0.4</v>
      </c>
      <c r="J648" s="0" t="n">
        <f aca="false">CONVERT(G648,"m^2","ha")</f>
        <v>0.0933577</v>
      </c>
      <c r="K648" s="0" t="b">
        <f aca="false">IF(J648&gt;(I648*2),((ROUNDDOWN(J648/I648,0))-1))</f>
        <v>0</v>
      </c>
    </row>
    <row r="649" customFormat="false" ht="12.75" hidden="false" customHeight="false" outlineLevel="0" collapsed="false">
      <c r="A649" s="5" t="n">
        <v>1007</v>
      </c>
      <c r="B649" s="6" t="s">
        <v>2085</v>
      </c>
      <c r="C649" s="6" t="s">
        <v>12</v>
      </c>
      <c r="D649" s="6" t="s">
        <v>2086</v>
      </c>
      <c r="E649" s="6" t="s">
        <v>14</v>
      </c>
      <c r="F649" s="6" t="n">
        <v>1063.645951585</v>
      </c>
      <c r="G649" s="6" t="n">
        <v>1063.646</v>
      </c>
      <c r="H649" s="6" t="s">
        <v>792</v>
      </c>
      <c r="I649" s="0" t="n">
        <v>0.4</v>
      </c>
      <c r="J649" s="0" t="n">
        <f aca="false">CONVERT(G649,"m^2","ha")</f>
        <v>0.1063646</v>
      </c>
      <c r="K649" s="0" t="b">
        <f aca="false">IF(J649&gt;(I649*2),((ROUNDDOWN(J649/I649,0))-1))</f>
        <v>0</v>
      </c>
    </row>
    <row r="650" customFormat="false" ht="12.75" hidden="false" customHeight="false" outlineLevel="0" collapsed="false">
      <c r="A650" s="5" t="n">
        <v>1008</v>
      </c>
      <c r="B650" s="6" t="s">
        <v>2087</v>
      </c>
      <c r="C650" s="6" t="s">
        <v>12</v>
      </c>
      <c r="D650" s="6" t="s">
        <v>2088</v>
      </c>
      <c r="E650" s="6" t="s">
        <v>14</v>
      </c>
      <c r="F650" s="6" t="n">
        <v>783.51926531</v>
      </c>
      <c r="G650" s="6" t="n">
        <v>782.92</v>
      </c>
      <c r="H650" s="6" t="s">
        <v>792</v>
      </c>
      <c r="I650" s="0" t="n">
        <v>0.4</v>
      </c>
      <c r="J650" s="0" t="n">
        <f aca="false">CONVERT(G650,"m^2","ha")</f>
        <v>0.078292</v>
      </c>
      <c r="K650" s="0" t="b">
        <f aca="false">IF(J650&gt;(I650*2),((ROUNDDOWN(J650/I650,0))-1))</f>
        <v>0</v>
      </c>
    </row>
    <row r="651" customFormat="false" ht="12.75" hidden="false" customHeight="false" outlineLevel="0" collapsed="false">
      <c r="A651" s="5" t="n">
        <v>1009</v>
      </c>
      <c r="B651" s="6" t="s">
        <v>2089</v>
      </c>
      <c r="C651" s="6" t="s">
        <v>12</v>
      </c>
      <c r="D651" s="6" t="s">
        <v>2090</v>
      </c>
      <c r="E651" s="6" t="s">
        <v>14</v>
      </c>
      <c r="F651" s="6" t="n">
        <v>970.20691437</v>
      </c>
      <c r="G651" s="6" t="n">
        <v>970.944</v>
      </c>
      <c r="H651" s="6" t="s">
        <v>792</v>
      </c>
      <c r="I651" s="0" t="n">
        <v>0.4</v>
      </c>
      <c r="J651" s="0" t="n">
        <f aca="false">CONVERT(G651,"m^2","ha")</f>
        <v>0.0970944</v>
      </c>
      <c r="K651" s="0" t="b">
        <f aca="false">IF(J651&gt;(I651*2),((ROUNDDOWN(J651/I651,0))-1))</f>
        <v>0</v>
      </c>
    </row>
    <row r="652" customFormat="false" ht="12.75" hidden="false" customHeight="false" outlineLevel="0" collapsed="false">
      <c r="A652" s="5" t="n">
        <v>1010</v>
      </c>
      <c r="B652" s="6" t="s">
        <v>2091</v>
      </c>
      <c r="C652" s="6" t="s">
        <v>12</v>
      </c>
      <c r="D652" s="6" t="s">
        <v>2092</v>
      </c>
      <c r="E652" s="6" t="s">
        <v>14</v>
      </c>
      <c r="F652" s="6" t="n">
        <v>825.14825637</v>
      </c>
      <c r="G652" s="6" t="n">
        <v>824.244</v>
      </c>
      <c r="H652" s="6" t="s">
        <v>792</v>
      </c>
      <c r="I652" s="0" t="n">
        <v>0.4</v>
      </c>
      <c r="J652" s="0" t="n">
        <f aca="false">CONVERT(G652,"m^2","ha")</f>
        <v>0.0824244</v>
      </c>
      <c r="K652" s="0" t="b">
        <f aca="false">IF(J652&gt;(I652*2),((ROUNDDOWN(J652/I652,0))-1))</f>
        <v>0</v>
      </c>
    </row>
    <row r="653" customFormat="false" ht="12.75" hidden="false" customHeight="false" outlineLevel="0" collapsed="false">
      <c r="A653" s="5" t="n">
        <v>1011</v>
      </c>
      <c r="B653" s="6" t="s">
        <v>2093</v>
      </c>
      <c r="C653" s="6" t="s">
        <v>12</v>
      </c>
      <c r="D653" s="6" t="s">
        <v>2094</v>
      </c>
      <c r="E653" s="6" t="s">
        <v>14</v>
      </c>
      <c r="F653" s="6" t="n">
        <v>828.69807385</v>
      </c>
      <c r="G653" s="6" t="n">
        <v>828.698</v>
      </c>
      <c r="H653" s="6" t="s">
        <v>792</v>
      </c>
      <c r="I653" s="0" t="n">
        <v>0.4</v>
      </c>
      <c r="J653" s="0" t="n">
        <f aca="false">CONVERT(G653,"m^2","ha")</f>
        <v>0.0828698</v>
      </c>
      <c r="K653" s="0" t="b">
        <f aca="false">IF(J653&gt;(I653*2),((ROUNDDOWN(J653/I653,0))-1))</f>
        <v>0</v>
      </c>
    </row>
    <row r="654" customFormat="false" ht="12.75" hidden="false" customHeight="false" outlineLevel="0" collapsed="false">
      <c r="A654" s="5" t="n">
        <v>1012</v>
      </c>
      <c r="B654" s="6" t="s">
        <v>2095</v>
      </c>
      <c r="C654" s="6" t="s">
        <v>12</v>
      </c>
      <c r="D654" s="6" t="s">
        <v>2096</v>
      </c>
      <c r="E654" s="6" t="s">
        <v>14</v>
      </c>
      <c r="F654" s="6" t="n">
        <v>1144.03786289</v>
      </c>
      <c r="G654" s="6" t="n">
        <v>1143.921</v>
      </c>
      <c r="H654" s="6" t="s">
        <v>792</v>
      </c>
      <c r="I654" s="0" t="n">
        <v>0.4</v>
      </c>
      <c r="J654" s="0" t="n">
        <f aca="false">CONVERT(G654,"m^2","ha")</f>
        <v>0.1143921</v>
      </c>
      <c r="K654" s="0" t="b">
        <f aca="false">IF(J654&gt;(I654*2),((ROUNDDOWN(J654/I654,0))-1))</f>
        <v>0</v>
      </c>
    </row>
    <row r="655" customFormat="false" ht="12.75" hidden="false" customHeight="false" outlineLevel="0" collapsed="false">
      <c r="A655" s="5" t="n">
        <v>1013</v>
      </c>
      <c r="B655" s="6" t="s">
        <v>2097</v>
      </c>
      <c r="C655" s="6" t="s">
        <v>12</v>
      </c>
      <c r="D655" s="6" t="s">
        <v>2098</v>
      </c>
      <c r="E655" s="6" t="s">
        <v>14</v>
      </c>
      <c r="F655" s="6" t="n">
        <v>1095.825938795</v>
      </c>
      <c r="G655" s="6" t="n">
        <v>1095.826</v>
      </c>
      <c r="H655" s="6" t="s">
        <v>792</v>
      </c>
      <c r="I655" s="0" t="n">
        <v>0.4</v>
      </c>
      <c r="J655" s="0" t="n">
        <f aca="false">CONVERT(G655,"m^2","ha")</f>
        <v>0.1095826</v>
      </c>
      <c r="K655" s="0" t="b">
        <f aca="false">IF(J655&gt;(I655*2),((ROUNDDOWN(J655/I655,0))-1))</f>
        <v>0</v>
      </c>
    </row>
    <row r="656" customFormat="false" ht="12.75" hidden="false" customHeight="false" outlineLevel="0" collapsed="false">
      <c r="A656" s="5" t="n">
        <v>1014</v>
      </c>
      <c r="B656" s="6" t="s">
        <v>2099</v>
      </c>
      <c r="C656" s="6" t="s">
        <v>12</v>
      </c>
      <c r="D656" s="6" t="s">
        <v>2100</v>
      </c>
      <c r="E656" s="6" t="s">
        <v>14</v>
      </c>
      <c r="F656" s="6" t="n">
        <v>844.53568255</v>
      </c>
      <c r="G656" s="6" t="n">
        <v>844.536</v>
      </c>
      <c r="H656" s="6" t="s">
        <v>792</v>
      </c>
      <c r="I656" s="0" t="n">
        <v>0.4</v>
      </c>
      <c r="J656" s="0" t="n">
        <f aca="false">CONVERT(G656,"m^2","ha")</f>
        <v>0.0844536</v>
      </c>
      <c r="K656" s="0" t="b">
        <f aca="false">IF(J656&gt;(I656*2),((ROUNDDOWN(J656/I656,0))-1))</f>
        <v>0</v>
      </c>
    </row>
    <row r="657" customFormat="false" ht="12.75" hidden="false" customHeight="false" outlineLevel="0" collapsed="false">
      <c r="A657" s="5" t="n">
        <v>1016</v>
      </c>
      <c r="B657" s="6" t="s">
        <v>2101</v>
      </c>
      <c r="C657" s="6" t="s">
        <v>12</v>
      </c>
      <c r="D657" s="6" t="s">
        <v>2102</v>
      </c>
      <c r="E657" s="6" t="s">
        <v>14</v>
      </c>
      <c r="F657" s="6" t="n">
        <v>864.510696775</v>
      </c>
      <c r="G657" s="6" t="n">
        <v>862.465</v>
      </c>
      <c r="H657" s="6" t="s">
        <v>792</v>
      </c>
      <c r="I657" s="0" t="n">
        <v>0.4</v>
      </c>
      <c r="J657" s="0" t="n">
        <f aca="false">CONVERT(G657,"m^2","ha")</f>
        <v>0.0862465</v>
      </c>
      <c r="K657" s="0" t="b">
        <f aca="false">IF(J657&gt;(I657*2),((ROUNDDOWN(J657/I657,0))-1))</f>
        <v>0</v>
      </c>
    </row>
    <row r="658" customFormat="false" ht="12.75" hidden="false" customHeight="false" outlineLevel="0" collapsed="false">
      <c r="A658" s="5" t="n">
        <v>1017</v>
      </c>
      <c r="B658" s="6" t="s">
        <v>2103</v>
      </c>
      <c r="C658" s="6" t="s">
        <v>12</v>
      </c>
      <c r="D658" s="6" t="s">
        <v>2104</v>
      </c>
      <c r="E658" s="6" t="s">
        <v>14</v>
      </c>
      <c r="F658" s="6" t="n">
        <v>855.01472452</v>
      </c>
      <c r="G658" s="6" t="n">
        <v>854.424</v>
      </c>
      <c r="H658" s="6" t="s">
        <v>792</v>
      </c>
      <c r="I658" s="0" t="n">
        <v>0.4</v>
      </c>
      <c r="J658" s="0" t="n">
        <f aca="false">CONVERT(G658,"m^2","ha")</f>
        <v>0.0854424</v>
      </c>
      <c r="K658" s="0" t="b">
        <f aca="false">IF(J658&gt;(I658*2),((ROUNDDOWN(J658/I658,0))-1))</f>
        <v>0</v>
      </c>
    </row>
    <row r="659" customFormat="false" ht="12.75" hidden="false" customHeight="false" outlineLevel="0" collapsed="false">
      <c r="A659" s="5" t="n">
        <v>1018</v>
      </c>
      <c r="B659" s="6" t="s">
        <v>2105</v>
      </c>
      <c r="C659" s="6" t="s">
        <v>12</v>
      </c>
      <c r="D659" s="6" t="s">
        <v>2106</v>
      </c>
      <c r="E659" s="6" t="s">
        <v>14</v>
      </c>
      <c r="F659" s="6" t="n">
        <v>754.27152345</v>
      </c>
      <c r="G659" s="6" t="n">
        <v>753.277</v>
      </c>
      <c r="H659" s="6" t="s">
        <v>792</v>
      </c>
      <c r="I659" s="0" t="n">
        <v>0.4</v>
      </c>
      <c r="J659" s="0" t="n">
        <f aca="false">CONVERT(G659,"m^2","ha")</f>
        <v>0.0753277</v>
      </c>
      <c r="K659" s="0" t="b">
        <f aca="false">IF(J659&gt;(I659*2),((ROUNDDOWN(J659/I659,0))-1))</f>
        <v>0</v>
      </c>
    </row>
    <row r="660" customFormat="false" ht="12.75" hidden="false" customHeight="false" outlineLevel="0" collapsed="false">
      <c r="A660" s="5" t="n">
        <v>1019</v>
      </c>
      <c r="B660" s="6" t="s">
        <v>2107</v>
      </c>
      <c r="C660" s="6" t="s">
        <v>12</v>
      </c>
      <c r="D660" s="6" t="s">
        <v>2108</v>
      </c>
      <c r="E660" s="6" t="s">
        <v>14</v>
      </c>
      <c r="F660" s="6" t="n">
        <v>879.68120321</v>
      </c>
      <c r="G660" s="6" t="n">
        <v>879.44</v>
      </c>
      <c r="H660" s="6" t="s">
        <v>792</v>
      </c>
      <c r="I660" s="0" t="n">
        <v>0.4</v>
      </c>
      <c r="J660" s="0" t="n">
        <f aca="false">CONVERT(G660,"m^2","ha")</f>
        <v>0.087944</v>
      </c>
      <c r="K660" s="0" t="b">
        <f aca="false">IF(J660&gt;(I660*2),((ROUNDDOWN(J660/I660,0))-1))</f>
        <v>0</v>
      </c>
    </row>
    <row r="661" customFormat="false" ht="12.75" hidden="false" customHeight="false" outlineLevel="0" collapsed="false">
      <c r="A661" s="5" t="n">
        <v>1020</v>
      </c>
      <c r="B661" s="6" t="s">
        <v>2109</v>
      </c>
      <c r="C661" s="6" t="s">
        <v>12</v>
      </c>
      <c r="D661" s="6" t="s">
        <v>2110</v>
      </c>
      <c r="E661" s="6" t="s">
        <v>14</v>
      </c>
      <c r="F661" s="6" t="n">
        <v>704.062292075</v>
      </c>
      <c r="G661" s="6" t="n">
        <v>704.062</v>
      </c>
      <c r="H661" s="6" t="s">
        <v>792</v>
      </c>
      <c r="I661" s="0" t="n">
        <v>0.4</v>
      </c>
      <c r="J661" s="0" t="n">
        <f aca="false">CONVERT(G661,"m^2","ha")</f>
        <v>0.0704062</v>
      </c>
      <c r="K661" s="0" t="b">
        <f aca="false">IF(J661&gt;(I661*2),((ROUNDDOWN(J661/I661,0))-1))</f>
        <v>0</v>
      </c>
    </row>
    <row r="662" customFormat="false" ht="12.75" hidden="false" customHeight="false" outlineLevel="0" collapsed="false">
      <c r="A662" s="5" t="n">
        <v>1022</v>
      </c>
      <c r="B662" s="6" t="s">
        <v>2111</v>
      </c>
      <c r="C662" s="6" t="s">
        <v>12</v>
      </c>
      <c r="D662" s="6" t="s">
        <v>2112</v>
      </c>
      <c r="E662" s="6" t="s">
        <v>14</v>
      </c>
      <c r="F662" s="6" t="n">
        <v>1020.535148215</v>
      </c>
      <c r="G662" s="6" t="n">
        <v>1020.535</v>
      </c>
      <c r="H662" s="6" t="s">
        <v>792</v>
      </c>
      <c r="I662" s="0" t="n">
        <v>0.4</v>
      </c>
      <c r="J662" s="0" t="n">
        <f aca="false">CONVERT(G662,"m^2","ha")</f>
        <v>0.1020535</v>
      </c>
      <c r="K662" s="0" t="b">
        <f aca="false">IF(J662&gt;(I662*2),((ROUNDDOWN(J662/I662,0))-1))</f>
        <v>0</v>
      </c>
    </row>
    <row r="663" customFormat="false" ht="12.75" hidden="false" customHeight="false" outlineLevel="0" collapsed="false">
      <c r="A663" s="5" t="n">
        <v>1023</v>
      </c>
      <c r="B663" s="6" t="s">
        <v>2113</v>
      </c>
      <c r="C663" s="6" t="s">
        <v>12</v>
      </c>
      <c r="D663" s="6" t="s">
        <v>2114</v>
      </c>
      <c r="E663" s="6" t="s">
        <v>14</v>
      </c>
      <c r="F663" s="6" t="n">
        <v>820.380017125</v>
      </c>
      <c r="G663" s="6" t="n">
        <v>820.38</v>
      </c>
      <c r="H663" s="6" t="s">
        <v>792</v>
      </c>
      <c r="I663" s="0" t="n">
        <v>0.4</v>
      </c>
      <c r="J663" s="0" t="n">
        <f aca="false">CONVERT(G663,"m^2","ha")</f>
        <v>0.082038</v>
      </c>
      <c r="K663" s="0" t="b">
        <f aca="false">IF(J663&gt;(I663*2),((ROUNDDOWN(J663/I663,0))-1))</f>
        <v>0</v>
      </c>
    </row>
    <row r="664" customFormat="false" ht="12.75" hidden="false" customHeight="false" outlineLevel="0" collapsed="false">
      <c r="A664" s="5" t="n">
        <v>1024</v>
      </c>
      <c r="B664" s="6" t="s">
        <v>2115</v>
      </c>
      <c r="C664" s="6" t="s">
        <v>12</v>
      </c>
      <c r="D664" s="6" t="s">
        <v>2116</v>
      </c>
      <c r="E664" s="6" t="s">
        <v>14</v>
      </c>
      <c r="F664" s="6" t="n">
        <v>1037.218536065</v>
      </c>
      <c r="G664" s="6" t="n">
        <v>1035.849</v>
      </c>
      <c r="H664" s="6" t="s">
        <v>792</v>
      </c>
      <c r="I664" s="0" t="n">
        <v>0.4</v>
      </c>
      <c r="J664" s="0" t="n">
        <f aca="false">CONVERT(G664,"m^2","ha")</f>
        <v>0.1035849</v>
      </c>
      <c r="K664" s="0" t="b">
        <f aca="false">IF(J664&gt;(I664*2),((ROUNDDOWN(J664/I664,0))-1))</f>
        <v>0</v>
      </c>
    </row>
    <row r="665" customFormat="false" ht="12.75" hidden="false" customHeight="false" outlineLevel="0" collapsed="false">
      <c r="A665" s="5" t="n">
        <v>1025</v>
      </c>
      <c r="B665" s="6" t="s">
        <v>2117</v>
      </c>
      <c r="C665" s="6" t="s">
        <v>12</v>
      </c>
      <c r="D665" s="6" t="s">
        <v>2118</v>
      </c>
      <c r="E665" s="6" t="s">
        <v>14</v>
      </c>
      <c r="F665" s="6" t="n">
        <v>787.46030446</v>
      </c>
      <c r="G665" s="6" t="n">
        <v>787.46</v>
      </c>
      <c r="H665" s="6" t="s">
        <v>792</v>
      </c>
      <c r="I665" s="0" t="n">
        <v>0.4</v>
      </c>
      <c r="J665" s="0" t="n">
        <f aca="false">CONVERT(G665,"m^2","ha")</f>
        <v>0.078746</v>
      </c>
      <c r="K665" s="0" t="b">
        <f aca="false">IF(J665&gt;(I665*2),((ROUNDDOWN(J665/I665,0))-1))</f>
        <v>0</v>
      </c>
    </row>
    <row r="666" customFormat="false" ht="12.75" hidden="false" customHeight="false" outlineLevel="0" collapsed="false">
      <c r="A666" s="5" t="n">
        <v>1026</v>
      </c>
      <c r="B666" s="6" t="s">
        <v>2119</v>
      </c>
      <c r="C666" s="6" t="s">
        <v>12</v>
      </c>
      <c r="D666" s="6" t="s">
        <v>2120</v>
      </c>
      <c r="E666" s="6" t="s">
        <v>14</v>
      </c>
      <c r="F666" s="6" t="n">
        <v>752.845475245</v>
      </c>
      <c r="G666" s="6" t="n">
        <v>752.845</v>
      </c>
      <c r="H666" s="6" t="s">
        <v>792</v>
      </c>
      <c r="I666" s="0" t="n">
        <v>0.4</v>
      </c>
      <c r="J666" s="0" t="n">
        <f aca="false">CONVERT(G666,"m^2","ha")</f>
        <v>0.0752845</v>
      </c>
      <c r="K666" s="0" t="b">
        <f aca="false">IF(J666&gt;(I666*2),((ROUNDDOWN(J666/I666,0))-1))</f>
        <v>0</v>
      </c>
    </row>
    <row r="667" customFormat="false" ht="12.75" hidden="false" customHeight="false" outlineLevel="0" collapsed="false">
      <c r="A667" s="5" t="n">
        <v>1027</v>
      </c>
      <c r="B667" s="6" t="s">
        <v>2121</v>
      </c>
      <c r="C667" s="6" t="s">
        <v>12</v>
      </c>
      <c r="D667" s="6" t="s">
        <v>2122</v>
      </c>
      <c r="E667" s="6" t="s">
        <v>14</v>
      </c>
      <c r="F667" s="6" t="n">
        <v>875.141993475</v>
      </c>
      <c r="G667" s="6" t="n">
        <v>875.142</v>
      </c>
      <c r="H667" s="6" t="s">
        <v>792</v>
      </c>
      <c r="I667" s="0" t="n">
        <v>0.4</v>
      </c>
      <c r="J667" s="0" t="n">
        <f aca="false">CONVERT(G667,"m^2","ha")</f>
        <v>0.0875142</v>
      </c>
      <c r="K667" s="0" t="b">
        <f aca="false">IF(J667&gt;(I667*2),((ROUNDDOWN(J667/I667,0))-1))</f>
        <v>0</v>
      </c>
    </row>
    <row r="668" customFormat="false" ht="12.75" hidden="false" customHeight="false" outlineLevel="0" collapsed="false">
      <c r="A668" s="5" t="n">
        <v>1028</v>
      </c>
      <c r="B668" s="6" t="s">
        <v>2123</v>
      </c>
      <c r="C668" s="6" t="s">
        <v>12</v>
      </c>
      <c r="D668" s="6" t="s">
        <v>2124</v>
      </c>
      <c r="E668" s="6" t="s">
        <v>14</v>
      </c>
      <c r="F668" s="6" t="n">
        <v>1179.920434185</v>
      </c>
      <c r="G668" s="6" t="n">
        <v>1180.23</v>
      </c>
      <c r="H668" s="6" t="s">
        <v>792</v>
      </c>
      <c r="I668" s="0" t="n">
        <v>0.4</v>
      </c>
      <c r="J668" s="0" t="n">
        <f aca="false">CONVERT(G668,"m^2","ha")</f>
        <v>0.118023</v>
      </c>
      <c r="K668" s="0" t="b">
        <f aca="false">IF(J668&gt;(I668*2),((ROUNDDOWN(J668/I668,0))-1))</f>
        <v>0</v>
      </c>
    </row>
    <row r="669" customFormat="false" ht="12.75" hidden="false" customHeight="false" outlineLevel="0" collapsed="false">
      <c r="A669" s="5" t="n">
        <v>1029</v>
      </c>
      <c r="B669" s="6" t="s">
        <v>2125</v>
      </c>
      <c r="C669" s="6" t="s">
        <v>12</v>
      </c>
      <c r="D669" s="6" t="s">
        <v>2126</v>
      </c>
      <c r="E669" s="6" t="s">
        <v>14</v>
      </c>
      <c r="F669" s="6" t="n">
        <v>1063.09984224</v>
      </c>
      <c r="G669" s="6" t="n">
        <v>1063.781</v>
      </c>
      <c r="H669" s="6" t="s">
        <v>792</v>
      </c>
      <c r="I669" s="0" t="n">
        <v>0.4</v>
      </c>
      <c r="J669" s="0" t="n">
        <f aca="false">CONVERT(G669,"m^2","ha")</f>
        <v>0.1063781</v>
      </c>
      <c r="K669" s="0" t="b">
        <f aca="false">IF(J669&gt;(I669*2),((ROUNDDOWN(J669/I669,0))-1))</f>
        <v>0</v>
      </c>
    </row>
    <row r="670" customFormat="false" ht="12.75" hidden="false" customHeight="false" outlineLevel="0" collapsed="false">
      <c r="A670" s="5" t="n">
        <v>1030</v>
      </c>
      <c r="B670" s="6" t="s">
        <v>2127</v>
      </c>
      <c r="C670" s="6" t="s">
        <v>12</v>
      </c>
      <c r="D670" s="6" t="s">
        <v>2128</v>
      </c>
      <c r="E670" s="6" t="s">
        <v>14</v>
      </c>
      <c r="F670" s="6" t="n">
        <v>921.560608505</v>
      </c>
      <c r="G670" s="6" t="n">
        <v>921.561</v>
      </c>
      <c r="H670" s="6" t="s">
        <v>792</v>
      </c>
      <c r="I670" s="0" t="n">
        <v>0.4</v>
      </c>
      <c r="J670" s="0" t="n">
        <f aca="false">CONVERT(G670,"m^2","ha")</f>
        <v>0.0921561</v>
      </c>
      <c r="K670" s="0" t="b">
        <f aca="false">IF(J670&gt;(I670*2),((ROUNDDOWN(J670/I670,0))-1))</f>
        <v>0</v>
      </c>
    </row>
    <row r="671" customFormat="false" ht="12.75" hidden="false" customHeight="false" outlineLevel="0" collapsed="false">
      <c r="A671" s="5" t="n">
        <v>1031</v>
      </c>
      <c r="B671" s="6" t="s">
        <v>2129</v>
      </c>
      <c r="C671" s="6" t="s">
        <v>12</v>
      </c>
      <c r="D671" s="6" t="s">
        <v>2130</v>
      </c>
      <c r="E671" s="6" t="s">
        <v>14</v>
      </c>
      <c r="F671" s="6" t="n">
        <v>783.720370915</v>
      </c>
      <c r="G671" s="6" t="n">
        <v>783.085</v>
      </c>
      <c r="H671" s="6" t="s">
        <v>792</v>
      </c>
      <c r="I671" s="0" t="n">
        <v>0.4</v>
      </c>
      <c r="J671" s="0" t="n">
        <f aca="false">CONVERT(G671,"m^2","ha")</f>
        <v>0.0783085</v>
      </c>
      <c r="K671" s="0" t="b">
        <f aca="false">IF(J671&gt;(I671*2),((ROUNDDOWN(J671/I671,0))-1))</f>
        <v>0</v>
      </c>
    </row>
    <row r="672" customFormat="false" ht="12.75" hidden="false" customHeight="false" outlineLevel="0" collapsed="false">
      <c r="A672" s="5" t="n">
        <v>1033</v>
      </c>
      <c r="B672" s="6" t="s">
        <v>2131</v>
      </c>
      <c r="C672" s="6" t="s">
        <v>12</v>
      </c>
      <c r="D672" s="6" t="s">
        <v>2132</v>
      </c>
      <c r="E672" s="6" t="s">
        <v>14</v>
      </c>
      <c r="F672" s="6" t="n">
        <v>731.602431345</v>
      </c>
      <c r="G672" s="6" t="n">
        <v>731.602</v>
      </c>
      <c r="H672" s="6" t="s">
        <v>792</v>
      </c>
      <c r="I672" s="0" t="n">
        <v>0.4</v>
      </c>
      <c r="J672" s="0" t="n">
        <f aca="false">CONVERT(G672,"m^2","ha")</f>
        <v>0.0731602</v>
      </c>
      <c r="K672" s="0" t="b">
        <f aca="false">IF(J672&gt;(I672*2),((ROUNDDOWN(J672/I672,0))-1))</f>
        <v>0</v>
      </c>
    </row>
    <row r="673" customFormat="false" ht="12.75" hidden="false" customHeight="false" outlineLevel="0" collapsed="false">
      <c r="A673" s="5" t="n">
        <v>1034</v>
      </c>
      <c r="B673" s="6" t="s">
        <v>2133</v>
      </c>
      <c r="C673" s="6" t="s">
        <v>12</v>
      </c>
      <c r="D673" s="6" t="s">
        <v>2134</v>
      </c>
      <c r="E673" s="6" t="s">
        <v>14</v>
      </c>
      <c r="F673" s="6" t="n">
        <v>755.115389835</v>
      </c>
      <c r="G673" s="6" t="n">
        <v>755.115</v>
      </c>
      <c r="H673" s="6" t="s">
        <v>792</v>
      </c>
      <c r="I673" s="0" t="n">
        <v>0.4</v>
      </c>
      <c r="J673" s="0" t="n">
        <f aca="false">CONVERT(G673,"m^2","ha")</f>
        <v>0.0755115</v>
      </c>
      <c r="K673" s="0" t="b">
        <f aca="false">IF(J673&gt;(I673*2),((ROUNDDOWN(J673/I673,0))-1))</f>
        <v>0</v>
      </c>
    </row>
    <row r="674" customFormat="false" ht="12.75" hidden="false" customHeight="false" outlineLevel="0" collapsed="false">
      <c r="A674" s="5" t="n">
        <v>1035</v>
      </c>
      <c r="B674" s="6" t="s">
        <v>2135</v>
      </c>
      <c r="C674" s="6" t="s">
        <v>12</v>
      </c>
      <c r="D674" s="6" t="s">
        <v>2136</v>
      </c>
      <c r="E674" s="6" t="s">
        <v>14</v>
      </c>
      <c r="F674" s="6" t="n">
        <v>1476.982404655</v>
      </c>
      <c r="G674" s="6" t="n">
        <v>1475.899</v>
      </c>
      <c r="H674" s="6" t="s">
        <v>792</v>
      </c>
      <c r="I674" s="0" t="n">
        <v>0.4</v>
      </c>
      <c r="J674" s="0" t="n">
        <f aca="false">CONVERT(G674,"m^2","ha")</f>
        <v>0.1475899</v>
      </c>
      <c r="K674" s="0" t="b">
        <f aca="false">IF(J674&gt;(I674*2),((ROUNDDOWN(J674/I674,0))-1))</f>
        <v>0</v>
      </c>
    </row>
    <row r="675" customFormat="false" ht="12.75" hidden="false" customHeight="false" outlineLevel="0" collapsed="false">
      <c r="A675" s="5" t="n">
        <v>1036</v>
      </c>
      <c r="B675" s="6" t="s">
        <v>2137</v>
      </c>
      <c r="C675" s="6" t="s">
        <v>12</v>
      </c>
      <c r="D675" s="6" t="s">
        <v>2138</v>
      </c>
      <c r="E675" s="6" t="s">
        <v>14</v>
      </c>
      <c r="F675" s="6" t="n">
        <v>834.18281681</v>
      </c>
      <c r="G675" s="6" t="n">
        <v>833.86</v>
      </c>
      <c r="H675" s="6" t="s">
        <v>792</v>
      </c>
      <c r="I675" s="0" t="n">
        <v>0.4</v>
      </c>
      <c r="J675" s="0" t="n">
        <f aca="false">CONVERT(G675,"m^2","ha")</f>
        <v>0.083386</v>
      </c>
      <c r="K675" s="0" t="b">
        <f aca="false">IF(J675&gt;(I675*2),((ROUNDDOWN(J675/I675,0))-1))</f>
        <v>0</v>
      </c>
    </row>
    <row r="676" customFormat="false" ht="12.75" hidden="false" customHeight="false" outlineLevel="0" collapsed="false">
      <c r="A676" s="5" t="n">
        <v>1037</v>
      </c>
      <c r="B676" s="6" t="s">
        <v>2139</v>
      </c>
      <c r="C676" s="6" t="s">
        <v>12</v>
      </c>
      <c r="D676" s="6" t="s">
        <v>2140</v>
      </c>
      <c r="E676" s="6" t="s">
        <v>14</v>
      </c>
      <c r="F676" s="6" t="n">
        <v>1019.618043705</v>
      </c>
      <c r="G676" s="6" t="n">
        <v>1020.423</v>
      </c>
      <c r="H676" s="6" t="s">
        <v>792</v>
      </c>
      <c r="I676" s="0" t="n">
        <v>0.4</v>
      </c>
      <c r="J676" s="0" t="n">
        <f aca="false">CONVERT(G676,"m^2","ha")</f>
        <v>0.1020423</v>
      </c>
      <c r="K676" s="0" t="b">
        <f aca="false">IF(J676&gt;(I676*2),((ROUNDDOWN(J676/I676,0))-1))</f>
        <v>0</v>
      </c>
    </row>
    <row r="677" customFormat="false" ht="12.75" hidden="false" customHeight="false" outlineLevel="0" collapsed="false">
      <c r="A677" s="5" t="n">
        <v>1038</v>
      </c>
      <c r="B677" s="6" t="s">
        <v>2141</v>
      </c>
      <c r="C677" s="6" t="s">
        <v>12</v>
      </c>
      <c r="D677" s="6" t="s">
        <v>2142</v>
      </c>
      <c r="E677" s="6" t="s">
        <v>14</v>
      </c>
      <c r="F677" s="6" t="n">
        <v>1120.562641205</v>
      </c>
      <c r="G677" s="6" t="n">
        <v>1120.434</v>
      </c>
      <c r="H677" s="6" t="s">
        <v>792</v>
      </c>
      <c r="I677" s="0" t="n">
        <v>0.4</v>
      </c>
      <c r="J677" s="0" t="n">
        <f aca="false">CONVERT(G677,"m^2","ha")</f>
        <v>0.1120434</v>
      </c>
      <c r="K677" s="0" t="b">
        <f aca="false">IF(J677&gt;(I677*2),((ROUNDDOWN(J677/I677,0))-1))</f>
        <v>0</v>
      </c>
    </row>
    <row r="678" customFormat="false" ht="12.75" hidden="false" customHeight="false" outlineLevel="0" collapsed="false">
      <c r="A678" s="5" t="n">
        <v>1039</v>
      </c>
      <c r="B678" s="6" t="s">
        <v>2143</v>
      </c>
      <c r="C678" s="6" t="s">
        <v>12</v>
      </c>
      <c r="D678" s="6" t="s">
        <v>2144</v>
      </c>
      <c r="E678" s="6" t="s">
        <v>14</v>
      </c>
      <c r="F678" s="6" t="n">
        <v>1244.559003045</v>
      </c>
      <c r="G678" s="6" t="n">
        <v>1244.225</v>
      </c>
      <c r="H678" s="6" t="s">
        <v>792</v>
      </c>
      <c r="I678" s="0" t="n">
        <v>0.4</v>
      </c>
      <c r="J678" s="0" t="n">
        <f aca="false">CONVERT(G678,"m^2","ha")</f>
        <v>0.1244225</v>
      </c>
      <c r="K678" s="0" t="b">
        <f aca="false">IF(J678&gt;(I678*2),((ROUNDDOWN(J678/I678,0))-1))</f>
        <v>0</v>
      </c>
    </row>
    <row r="679" customFormat="false" ht="12.75" hidden="false" customHeight="false" outlineLevel="0" collapsed="false">
      <c r="A679" s="5" t="n">
        <v>1040</v>
      </c>
      <c r="B679" s="6" t="s">
        <v>2145</v>
      </c>
      <c r="C679" s="6" t="s">
        <v>12</v>
      </c>
      <c r="D679" s="6" t="s">
        <v>2146</v>
      </c>
      <c r="E679" s="6" t="s">
        <v>14</v>
      </c>
      <c r="F679" s="6" t="n">
        <v>1168.18524781</v>
      </c>
      <c r="G679" s="6" t="n">
        <v>1168.417</v>
      </c>
      <c r="H679" s="6" t="s">
        <v>792</v>
      </c>
      <c r="I679" s="0" t="n">
        <v>0.4</v>
      </c>
      <c r="J679" s="0" t="n">
        <f aca="false">CONVERT(G679,"m^2","ha")</f>
        <v>0.1168417</v>
      </c>
      <c r="K679" s="0" t="b">
        <f aca="false">IF(J679&gt;(I679*2),((ROUNDDOWN(J679/I679,0))-1))</f>
        <v>0</v>
      </c>
    </row>
    <row r="680" customFormat="false" ht="12.75" hidden="false" customHeight="false" outlineLevel="0" collapsed="false">
      <c r="A680" s="5" t="n">
        <v>1041</v>
      </c>
      <c r="B680" s="6" t="s">
        <v>2147</v>
      </c>
      <c r="C680" s="6" t="s">
        <v>12</v>
      </c>
      <c r="D680" s="6" t="s">
        <v>2148</v>
      </c>
      <c r="E680" s="6" t="s">
        <v>14</v>
      </c>
      <c r="F680" s="6" t="n">
        <v>985.706565055</v>
      </c>
      <c r="G680" s="6" t="n">
        <v>985.965</v>
      </c>
      <c r="H680" s="6" t="s">
        <v>792</v>
      </c>
      <c r="I680" s="0" t="n">
        <v>0.4</v>
      </c>
      <c r="J680" s="0" t="n">
        <f aca="false">CONVERT(G680,"m^2","ha")</f>
        <v>0.0985965</v>
      </c>
      <c r="K680" s="0" t="b">
        <f aca="false">IF(J680&gt;(I680*2),((ROUNDDOWN(J680/I680,0))-1))</f>
        <v>0</v>
      </c>
    </row>
    <row r="681" customFormat="false" ht="12.75" hidden="false" customHeight="false" outlineLevel="0" collapsed="false">
      <c r="A681" s="5" t="n">
        <v>1042</v>
      </c>
      <c r="B681" s="6" t="s">
        <v>2149</v>
      </c>
      <c r="C681" s="6" t="s">
        <v>12</v>
      </c>
      <c r="D681" s="6" t="s">
        <v>2150</v>
      </c>
      <c r="E681" s="6" t="s">
        <v>14</v>
      </c>
      <c r="F681" s="6" t="n">
        <v>1349.0747549</v>
      </c>
      <c r="G681" s="6" t="n">
        <v>1348.457</v>
      </c>
      <c r="H681" s="6" t="s">
        <v>792</v>
      </c>
      <c r="I681" s="0" t="n">
        <v>0.4</v>
      </c>
      <c r="J681" s="0" t="n">
        <f aca="false">CONVERT(G681,"m^2","ha")</f>
        <v>0.1348457</v>
      </c>
      <c r="K681" s="0" t="b">
        <f aca="false">IF(J681&gt;(I681*2),((ROUNDDOWN(J681/I681,0))-1))</f>
        <v>0</v>
      </c>
    </row>
    <row r="682" customFormat="false" ht="12.75" hidden="false" customHeight="false" outlineLevel="0" collapsed="false">
      <c r="A682" s="5" t="n">
        <v>1044</v>
      </c>
      <c r="B682" s="6" t="s">
        <v>2151</v>
      </c>
      <c r="C682" s="6" t="s">
        <v>12</v>
      </c>
      <c r="D682" s="6" t="s">
        <v>2152</v>
      </c>
      <c r="E682" s="6" t="s">
        <v>14</v>
      </c>
      <c r="F682" s="6" t="n">
        <v>1227.65848561</v>
      </c>
      <c r="G682" s="6" t="n">
        <v>1227.658</v>
      </c>
      <c r="H682" s="6" t="s">
        <v>792</v>
      </c>
      <c r="I682" s="0" t="n">
        <v>0.4</v>
      </c>
      <c r="J682" s="0" t="n">
        <f aca="false">CONVERT(G682,"m^2","ha")</f>
        <v>0.1227658</v>
      </c>
      <c r="K682" s="0" t="b">
        <f aca="false">IF(J682&gt;(I682*2),((ROUNDDOWN(J682/I682,0))-1))</f>
        <v>0</v>
      </c>
    </row>
    <row r="683" customFormat="false" ht="12.75" hidden="false" customHeight="false" outlineLevel="0" collapsed="false">
      <c r="A683" s="5" t="n">
        <v>1045</v>
      </c>
      <c r="B683" s="6" t="s">
        <v>2153</v>
      </c>
      <c r="C683" s="6" t="s">
        <v>12</v>
      </c>
      <c r="D683" s="6" t="s">
        <v>2154</v>
      </c>
      <c r="E683" s="6" t="s">
        <v>14</v>
      </c>
      <c r="F683" s="6" t="n">
        <v>936.059039425</v>
      </c>
      <c r="G683" s="6" t="n">
        <v>936.677</v>
      </c>
      <c r="H683" s="6" t="s">
        <v>792</v>
      </c>
      <c r="I683" s="0" t="n">
        <v>0.4</v>
      </c>
      <c r="J683" s="0" t="n">
        <f aca="false">CONVERT(G683,"m^2","ha")</f>
        <v>0.0936677</v>
      </c>
      <c r="K683" s="0" t="b">
        <f aca="false">IF(J683&gt;(I683*2),((ROUNDDOWN(J683/I683,0))-1))</f>
        <v>0</v>
      </c>
    </row>
    <row r="684" customFormat="false" ht="12.75" hidden="false" customHeight="false" outlineLevel="0" collapsed="false">
      <c r="A684" s="5" t="n">
        <v>1046</v>
      </c>
      <c r="B684" s="6" t="s">
        <v>2155</v>
      </c>
      <c r="C684" s="6" t="s">
        <v>12</v>
      </c>
      <c r="D684" s="6" t="s">
        <v>2156</v>
      </c>
      <c r="E684" s="6" t="s">
        <v>14</v>
      </c>
      <c r="F684" s="6" t="n">
        <v>1441.172147245</v>
      </c>
      <c r="G684" s="6" t="n">
        <v>1441.172</v>
      </c>
      <c r="H684" s="6" t="s">
        <v>792</v>
      </c>
      <c r="I684" s="0" t="n">
        <v>0.4</v>
      </c>
      <c r="J684" s="0" t="n">
        <f aca="false">CONVERT(G684,"m^2","ha")</f>
        <v>0.1441172</v>
      </c>
      <c r="K684" s="0" t="b">
        <f aca="false">IF(J684&gt;(I684*2),((ROUNDDOWN(J684/I684,0))-1))</f>
        <v>0</v>
      </c>
    </row>
    <row r="685" customFormat="false" ht="12.75" hidden="false" customHeight="false" outlineLevel="0" collapsed="false">
      <c r="A685" s="5" t="n">
        <v>1047</v>
      </c>
      <c r="B685" s="6" t="s">
        <v>2157</v>
      </c>
      <c r="C685" s="6" t="s">
        <v>12</v>
      </c>
      <c r="D685" s="6" t="s">
        <v>2158</v>
      </c>
      <c r="E685" s="6" t="s">
        <v>14</v>
      </c>
      <c r="F685" s="6" t="n">
        <v>2167.553371345</v>
      </c>
      <c r="G685" s="6" t="n">
        <v>2167.553</v>
      </c>
      <c r="H685" s="6" t="s">
        <v>792</v>
      </c>
      <c r="I685" s="0" t="n">
        <v>0.4</v>
      </c>
      <c r="J685" s="0" t="n">
        <f aca="false">CONVERT(G685,"m^2","ha")</f>
        <v>0.2167553</v>
      </c>
      <c r="K685" s="0" t="b">
        <f aca="false">IF(J685&gt;(I685*2),((ROUNDDOWN(J685/I685,0))-1))</f>
        <v>0</v>
      </c>
    </row>
    <row r="686" customFormat="false" ht="12.75" hidden="false" customHeight="false" outlineLevel="0" collapsed="false">
      <c r="A686" s="5" t="n">
        <v>1048</v>
      </c>
      <c r="B686" s="6" t="s">
        <v>2159</v>
      </c>
      <c r="C686" s="6" t="s">
        <v>12</v>
      </c>
      <c r="D686" s="6" t="s">
        <v>2160</v>
      </c>
      <c r="E686" s="6" t="s">
        <v>14</v>
      </c>
      <c r="F686" s="6" t="n">
        <v>2276.85253024</v>
      </c>
      <c r="G686" s="6" t="n">
        <v>2276.853</v>
      </c>
      <c r="H686" s="6" t="s">
        <v>792</v>
      </c>
      <c r="I686" s="0" t="n">
        <v>0.4</v>
      </c>
      <c r="J686" s="0" t="n">
        <f aca="false">CONVERT(G686,"m^2","ha")</f>
        <v>0.2276853</v>
      </c>
      <c r="K686" s="0" t="b">
        <f aca="false">IF(J686&gt;(I686*2),((ROUNDDOWN(J686/I686,0))-1))</f>
        <v>0</v>
      </c>
    </row>
    <row r="687" customFormat="false" ht="12.75" hidden="false" customHeight="false" outlineLevel="0" collapsed="false">
      <c r="A687" s="5" t="n">
        <v>1049</v>
      </c>
      <c r="B687" s="6" t="s">
        <v>2161</v>
      </c>
      <c r="C687" s="6" t="s">
        <v>12</v>
      </c>
      <c r="D687" s="6" t="s">
        <v>2162</v>
      </c>
      <c r="E687" s="6" t="s">
        <v>14</v>
      </c>
      <c r="F687" s="6" t="n">
        <v>1460.16343843</v>
      </c>
      <c r="G687" s="6" t="n">
        <v>1460.163</v>
      </c>
      <c r="H687" s="6" t="s">
        <v>792</v>
      </c>
      <c r="I687" s="0" t="n">
        <v>0.4</v>
      </c>
      <c r="J687" s="0" t="n">
        <f aca="false">CONVERT(G687,"m^2","ha")</f>
        <v>0.1460163</v>
      </c>
      <c r="K687" s="0" t="b">
        <f aca="false">IF(J687&gt;(I687*2),((ROUNDDOWN(J687/I687,0))-1))</f>
        <v>0</v>
      </c>
    </row>
    <row r="688" customFormat="false" ht="12.75" hidden="false" customHeight="false" outlineLevel="0" collapsed="false">
      <c r="A688" s="5" t="n">
        <v>1050</v>
      </c>
      <c r="B688" s="6" t="s">
        <v>2163</v>
      </c>
      <c r="C688" s="6" t="s">
        <v>12</v>
      </c>
      <c r="D688" s="6" t="s">
        <v>2164</v>
      </c>
      <c r="E688" s="6" t="s">
        <v>14</v>
      </c>
      <c r="F688" s="6" t="n">
        <v>1638.42129773</v>
      </c>
      <c r="G688" s="6" t="n">
        <v>1638.421</v>
      </c>
      <c r="H688" s="6" t="s">
        <v>792</v>
      </c>
      <c r="I688" s="0" t="n">
        <v>0.4</v>
      </c>
      <c r="J688" s="0" t="n">
        <f aca="false">CONVERT(G688,"m^2","ha")</f>
        <v>0.1638421</v>
      </c>
      <c r="K688" s="0" t="b">
        <f aca="false">IF(J688&gt;(I688*2),((ROUNDDOWN(J688/I688,0))-1))</f>
        <v>0</v>
      </c>
    </row>
    <row r="689" customFormat="false" ht="12.75" hidden="false" customHeight="false" outlineLevel="0" collapsed="false">
      <c r="A689" s="5" t="n">
        <v>1051</v>
      </c>
      <c r="B689" s="6" t="s">
        <v>2165</v>
      </c>
      <c r="C689" s="6" t="s">
        <v>12</v>
      </c>
      <c r="D689" s="6" t="s">
        <v>2166</v>
      </c>
      <c r="E689" s="6" t="s">
        <v>14</v>
      </c>
      <c r="F689" s="6" t="n">
        <v>2209.771262235</v>
      </c>
      <c r="G689" s="6" t="n">
        <v>2209.771</v>
      </c>
      <c r="H689" s="6" t="s">
        <v>792</v>
      </c>
      <c r="I689" s="0" t="n">
        <v>0.4</v>
      </c>
      <c r="J689" s="0" t="n">
        <f aca="false">CONVERT(G689,"m^2","ha")</f>
        <v>0.2209771</v>
      </c>
      <c r="K689" s="0" t="b">
        <f aca="false">IF(J689&gt;(I689*2),((ROUNDDOWN(J689/I689,0))-1))</f>
        <v>0</v>
      </c>
    </row>
    <row r="690" customFormat="false" ht="12.75" hidden="false" customHeight="false" outlineLevel="0" collapsed="false">
      <c r="A690" s="5" t="n">
        <v>1052</v>
      </c>
      <c r="B690" s="6" t="s">
        <v>2167</v>
      </c>
      <c r="C690" s="6" t="s">
        <v>12</v>
      </c>
      <c r="D690" s="6" t="s">
        <v>2168</v>
      </c>
      <c r="E690" s="6" t="s">
        <v>14</v>
      </c>
      <c r="F690" s="6" t="n">
        <v>2248.452437475</v>
      </c>
      <c r="G690" s="6" t="n">
        <v>2248.452</v>
      </c>
      <c r="H690" s="6" t="s">
        <v>792</v>
      </c>
      <c r="I690" s="0" t="n">
        <v>0.4</v>
      </c>
      <c r="J690" s="0" t="n">
        <f aca="false">CONVERT(G690,"m^2","ha")</f>
        <v>0.2248452</v>
      </c>
      <c r="K690" s="0" t="b">
        <f aca="false">IF(J690&gt;(I690*2),((ROUNDDOWN(J690/I690,0))-1))</f>
        <v>0</v>
      </c>
    </row>
    <row r="691" customFormat="false" ht="12.75" hidden="false" customHeight="false" outlineLevel="0" collapsed="false">
      <c r="A691" s="5" t="n">
        <v>1053</v>
      </c>
      <c r="B691" s="6" t="s">
        <v>2169</v>
      </c>
      <c r="C691" s="6" t="s">
        <v>12</v>
      </c>
      <c r="D691" s="6" t="s">
        <v>2170</v>
      </c>
      <c r="E691" s="6" t="s">
        <v>14</v>
      </c>
      <c r="F691" s="6" t="n">
        <v>1996.494793685</v>
      </c>
      <c r="G691" s="6" t="n">
        <v>1996.495</v>
      </c>
      <c r="H691" s="6" t="s">
        <v>792</v>
      </c>
      <c r="I691" s="0" t="n">
        <v>0.4</v>
      </c>
      <c r="J691" s="0" t="n">
        <f aca="false">CONVERT(G691,"m^2","ha")</f>
        <v>0.1996495</v>
      </c>
      <c r="K691" s="0" t="b">
        <f aca="false">IF(J691&gt;(I691*2),((ROUNDDOWN(J691/I691,0))-1))</f>
        <v>0</v>
      </c>
    </row>
    <row r="692" customFormat="false" ht="12.75" hidden="false" customHeight="false" outlineLevel="0" collapsed="false">
      <c r="A692" s="5" t="n">
        <v>1054</v>
      </c>
      <c r="B692" s="6" t="s">
        <v>2171</v>
      </c>
      <c r="C692" s="6" t="s">
        <v>12</v>
      </c>
      <c r="D692" s="6" t="s">
        <v>2172</v>
      </c>
      <c r="E692" s="6" t="s">
        <v>14</v>
      </c>
      <c r="F692" s="6" t="n">
        <v>1634.24327953</v>
      </c>
      <c r="G692" s="6" t="n">
        <v>1634.243</v>
      </c>
      <c r="H692" s="6" t="s">
        <v>792</v>
      </c>
      <c r="I692" s="0" t="n">
        <v>0.4</v>
      </c>
      <c r="J692" s="0" t="n">
        <f aca="false">CONVERT(G692,"m^2","ha")</f>
        <v>0.1634243</v>
      </c>
      <c r="K692" s="0" t="b">
        <f aca="false">IF(J692&gt;(I692*2),((ROUNDDOWN(J692/I692,0))-1))</f>
        <v>0</v>
      </c>
    </row>
    <row r="693" customFormat="false" ht="12.75" hidden="false" customHeight="false" outlineLevel="0" collapsed="false">
      <c r="A693" s="5" t="n">
        <v>1055</v>
      </c>
      <c r="B693" s="6" t="s">
        <v>2173</v>
      </c>
      <c r="C693" s="6" t="s">
        <v>12</v>
      </c>
      <c r="D693" s="6" t="s">
        <v>2174</v>
      </c>
      <c r="E693" s="6" t="s">
        <v>14</v>
      </c>
      <c r="F693" s="6" t="n">
        <v>1637.69850634</v>
      </c>
      <c r="G693" s="6" t="n">
        <v>1637.699</v>
      </c>
      <c r="H693" s="6" t="s">
        <v>792</v>
      </c>
      <c r="I693" s="0" t="n">
        <v>0.4</v>
      </c>
      <c r="J693" s="0" t="n">
        <f aca="false">CONVERT(G693,"m^2","ha")</f>
        <v>0.1637699</v>
      </c>
      <c r="K693" s="0" t="b">
        <f aca="false">IF(J693&gt;(I693*2),((ROUNDDOWN(J693/I693,0))-1))</f>
        <v>0</v>
      </c>
    </row>
    <row r="694" customFormat="false" ht="12.75" hidden="false" customHeight="false" outlineLevel="0" collapsed="false">
      <c r="A694" s="5" t="n">
        <v>1056</v>
      </c>
      <c r="B694" s="6" t="s">
        <v>2175</v>
      </c>
      <c r="C694" s="6" t="s">
        <v>12</v>
      </c>
      <c r="D694" s="6" t="s">
        <v>2176</v>
      </c>
      <c r="E694" s="6" t="s">
        <v>14</v>
      </c>
      <c r="F694" s="6" t="n">
        <v>1446.873277595</v>
      </c>
      <c r="G694" s="6" t="n">
        <v>1446.873</v>
      </c>
      <c r="H694" s="6" t="s">
        <v>792</v>
      </c>
      <c r="I694" s="0" t="n">
        <v>0.4</v>
      </c>
      <c r="J694" s="0" t="n">
        <f aca="false">CONVERT(G694,"m^2","ha")</f>
        <v>0.1446873</v>
      </c>
      <c r="K694" s="0" t="b">
        <f aca="false">IF(J694&gt;(I694*2),((ROUNDDOWN(J694/I694,0))-1))</f>
        <v>0</v>
      </c>
    </row>
    <row r="695" customFormat="false" ht="12.75" hidden="false" customHeight="false" outlineLevel="0" collapsed="false">
      <c r="A695" s="5" t="n">
        <v>1057</v>
      </c>
      <c r="B695" s="6" t="s">
        <v>2177</v>
      </c>
      <c r="C695" s="6" t="s">
        <v>12</v>
      </c>
      <c r="D695" s="6" t="s">
        <v>2178</v>
      </c>
      <c r="E695" s="6" t="s">
        <v>14</v>
      </c>
      <c r="F695" s="6" t="n">
        <v>1641.22106598</v>
      </c>
      <c r="G695" s="6" t="n">
        <v>1641.221</v>
      </c>
      <c r="H695" s="6" t="s">
        <v>792</v>
      </c>
      <c r="I695" s="0" t="n">
        <v>0.4</v>
      </c>
      <c r="J695" s="0" t="n">
        <f aca="false">CONVERT(G695,"m^2","ha")</f>
        <v>0.1641221</v>
      </c>
      <c r="K695" s="0" t="b">
        <f aca="false">IF(J695&gt;(I695*2),((ROUNDDOWN(J695/I695,0))-1))</f>
        <v>0</v>
      </c>
    </row>
    <row r="696" customFormat="false" ht="12.75" hidden="false" customHeight="false" outlineLevel="0" collapsed="false">
      <c r="A696" s="5" t="n">
        <v>1058</v>
      </c>
      <c r="B696" s="6" t="s">
        <v>2179</v>
      </c>
      <c r="C696" s="6" t="s">
        <v>12</v>
      </c>
      <c r="D696" s="6" t="s">
        <v>2180</v>
      </c>
      <c r="E696" s="6" t="s">
        <v>14</v>
      </c>
      <c r="F696" s="6" t="n">
        <v>2103.547473055</v>
      </c>
      <c r="G696" s="6" t="n">
        <v>2103.547</v>
      </c>
      <c r="H696" s="6" t="s">
        <v>792</v>
      </c>
      <c r="I696" s="0" t="n">
        <v>0.4</v>
      </c>
      <c r="J696" s="0" t="n">
        <f aca="false">CONVERT(G696,"m^2","ha")</f>
        <v>0.2103547</v>
      </c>
      <c r="K696" s="0" t="b">
        <f aca="false">IF(J696&gt;(I696*2),((ROUNDDOWN(J696/I696,0))-1))</f>
        <v>0</v>
      </c>
    </row>
    <row r="697" customFormat="false" ht="12.75" hidden="false" customHeight="false" outlineLevel="0" collapsed="false">
      <c r="A697" s="5" t="n">
        <v>1059</v>
      </c>
      <c r="B697" s="6" t="s">
        <v>2181</v>
      </c>
      <c r="C697" s="6" t="s">
        <v>12</v>
      </c>
      <c r="D697" s="6" t="s">
        <v>2182</v>
      </c>
      <c r="E697" s="6" t="s">
        <v>14</v>
      </c>
      <c r="F697" s="6" t="n">
        <v>1412.35389905</v>
      </c>
      <c r="G697" s="6" t="n">
        <v>1412.354</v>
      </c>
      <c r="H697" s="6" t="s">
        <v>792</v>
      </c>
      <c r="I697" s="0" t="n">
        <v>0.4</v>
      </c>
      <c r="J697" s="0" t="n">
        <f aca="false">CONVERT(G697,"m^2","ha")</f>
        <v>0.1412354</v>
      </c>
      <c r="K697" s="0" t="b">
        <f aca="false">IF(J697&gt;(I697*2),((ROUNDDOWN(J697/I697,0))-1))</f>
        <v>0</v>
      </c>
    </row>
    <row r="698" customFormat="false" ht="12.75" hidden="false" customHeight="false" outlineLevel="0" collapsed="false">
      <c r="A698" s="5" t="n">
        <v>1060</v>
      </c>
      <c r="B698" s="6" t="s">
        <v>2183</v>
      </c>
      <c r="C698" s="6" t="s">
        <v>12</v>
      </c>
      <c r="D698" s="6" t="s">
        <v>2184</v>
      </c>
      <c r="E698" s="6" t="s">
        <v>14</v>
      </c>
      <c r="F698" s="6" t="n">
        <v>1417.847223395</v>
      </c>
      <c r="G698" s="6" t="n">
        <v>1417.847</v>
      </c>
      <c r="H698" s="6" t="s">
        <v>792</v>
      </c>
      <c r="I698" s="0" t="n">
        <v>0.4</v>
      </c>
      <c r="J698" s="0" t="n">
        <f aca="false">CONVERT(G698,"m^2","ha")</f>
        <v>0.1417847</v>
      </c>
      <c r="K698" s="0" t="b">
        <f aca="false">IF(J698&gt;(I698*2),((ROUNDDOWN(J698/I698,0))-1))</f>
        <v>0</v>
      </c>
    </row>
    <row r="699" customFormat="false" ht="12.75" hidden="false" customHeight="false" outlineLevel="0" collapsed="false">
      <c r="A699" s="5" t="n">
        <v>1061</v>
      </c>
      <c r="B699" s="6" t="s">
        <v>2185</v>
      </c>
      <c r="C699" s="6" t="s">
        <v>12</v>
      </c>
      <c r="D699" s="6" t="s">
        <v>2186</v>
      </c>
      <c r="E699" s="6" t="s">
        <v>14</v>
      </c>
      <c r="F699" s="6" t="n">
        <v>4091.61202585</v>
      </c>
      <c r="G699" s="6" t="n">
        <v>4091.612</v>
      </c>
      <c r="H699" s="6" t="s">
        <v>792</v>
      </c>
      <c r="I699" s="0" t="n">
        <v>0.4</v>
      </c>
      <c r="J699" s="0" t="n">
        <f aca="false">CONVERT(G699,"m^2","ha")</f>
        <v>0.4091612</v>
      </c>
      <c r="K699" s="0" t="b">
        <f aca="false">IF(J699&gt;(I699*2),((ROUNDDOWN(J699/I699,0))-1))</f>
        <v>0</v>
      </c>
    </row>
    <row r="700" customFormat="false" ht="12.75" hidden="false" customHeight="false" outlineLevel="0" collapsed="false">
      <c r="A700" s="5" t="n">
        <v>1062</v>
      </c>
      <c r="B700" s="6" t="s">
        <v>2187</v>
      </c>
      <c r="C700" s="6" t="s">
        <v>12</v>
      </c>
      <c r="D700" s="6" t="s">
        <v>2188</v>
      </c>
      <c r="E700" s="6" t="s">
        <v>14</v>
      </c>
      <c r="F700" s="6" t="n">
        <v>2857.14030271</v>
      </c>
      <c r="G700" s="6" t="n">
        <v>2857.14</v>
      </c>
      <c r="H700" s="6" t="s">
        <v>792</v>
      </c>
      <c r="I700" s="0" t="n">
        <v>0.4</v>
      </c>
      <c r="J700" s="0" t="n">
        <f aca="false">CONVERT(G700,"m^2","ha")</f>
        <v>0.285714</v>
      </c>
      <c r="K700" s="0" t="b">
        <f aca="false">IF(J700&gt;(I700*2),((ROUNDDOWN(J700/I700,0))-1))</f>
        <v>0</v>
      </c>
    </row>
    <row r="701" customFormat="false" ht="12.75" hidden="false" customHeight="false" outlineLevel="0" collapsed="false">
      <c r="A701" s="5" t="n">
        <v>1063</v>
      </c>
      <c r="B701" s="6" t="s">
        <v>2189</v>
      </c>
      <c r="C701" s="6" t="s">
        <v>12</v>
      </c>
      <c r="D701" s="6" t="s">
        <v>2190</v>
      </c>
      <c r="E701" s="6" t="s">
        <v>14</v>
      </c>
      <c r="F701" s="6" t="n">
        <v>4123.83671034</v>
      </c>
      <c r="G701" s="6" t="n">
        <v>4123.837</v>
      </c>
      <c r="H701" s="6" t="s">
        <v>792</v>
      </c>
      <c r="I701" s="0" t="n">
        <v>0.4</v>
      </c>
      <c r="J701" s="0" t="n">
        <f aca="false">CONVERT(G701,"m^2","ha")</f>
        <v>0.4123837</v>
      </c>
      <c r="K701" s="0" t="b">
        <f aca="false">IF(J701&gt;(I701*2),((ROUNDDOWN(J701/I701,0))-1))</f>
        <v>0</v>
      </c>
    </row>
    <row r="702" customFormat="false" ht="12.75" hidden="false" customHeight="false" outlineLevel="0" collapsed="false">
      <c r="A702" s="5" t="n">
        <v>1064</v>
      </c>
      <c r="B702" s="6" t="s">
        <v>2191</v>
      </c>
      <c r="C702" s="6" t="s">
        <v>12</v>
      </c>
      <c r="D702" s="6" t="s">
        <v>2192</v>
      </c>
      <c r="E702" s="6" t="s">
        <v>14</v>
      </c>
      <c r="F702" s="6" t="n">
        <v>4828.199245545</v>
      </c>
      <c r="G702" s="6" t="n">
        <v>4828.199</v>
      </c>
      <c r="H702" s="6" t="s">
        <v>792</v>
      </c>
      <c r="I702" s="0" t="n">
        <v>0.4</v>
      </c>
      <c r="J702" s="0" t="n">
        <f aca="false">CONVERT(G702,"m^2","ha")</f>
        <v>0.4828199</v>
      </c>
      <c r="K702" s="0" t="b">
        <f aca="false">IF(J702&gt;(I702*2),((ROUNDDOWN(J702/I702,0))-1))</f>
        <v>0</v>
      </c>
    </row>
    <row r="703" customFormat="false" ht="12.75" hidden="false" customHeight="false" outlineLevel="0" collapsed="false">
      <c r="A703" s="5" t="n">
        <v>1065</v>
      </c>
      <c r="B703" s="6" t="s">
        <v>2193</v>
      </c>
      <c r="C703" s="6" t="s">
        <v>12</v>
      </c>
      <c r="D703" s="6" t="s">
        <v>2194</v>
      </c>
      <c r="E703" s="6" t="s">
        <v>14</v>
      </c>
      <c r="F703" s="6" t="n">
        <v>1359.00381357</v>
      </c>
      <c r="G703" s="6" t="n">
        <v>1359.004</v>
      </c>
      <c r="H703" s="6" t="s">
        <v>792</v>
      </c>
      <c r="I703" s="0" t="n">
        <v>0.4</v>
      </c>
      <c r="J703" s="0" t="n">
        <f aca="false">CONVERT(G703,"m^2","ha")</f>
        <v>0.1359004</v>
      </c>
      <c r="K703" s="0" t="b">
        <f aca="false">IF(J703&gt;(I703*2),((ROUNDDOWN(J703/I703,0))-1))</f>
        <v>0</v>
      </c>
    </row>
    <row r="704" customFormat="false" ht="12.75" hidden="false" customHeight="false" outlineLevel="0" collapsed="false">
      <c r="A704" s="5" t="n">
        <v>1066</v>
      </c>
      <c r="B704" s="6" t="s">
        <v>2195</v>
      </c>
      <c r="C704" s="6" t="s">
        <v>12</v>
      </c>
      <c r="D704" s="6" t="s">
        <v>2196</v>
      </c>
      <c r="E704" s="6" t="s">
        <v>14</v>
      </c>
      <c r="F704" s="6" t="n">
        <v>870.713775</v>
      </c>
      <c r="G704" s="6" t="n">
        <v>870.944</v>
      </c>
      <c r="H704" s="6" t="s">
        <v>792</v>
      </c>
      <c r="I704" s="0" t="n">
        <v>0.4</v>
      </c>
      <c r="J704" s="0" t="n">
        <f aca="false">CONVERT(G704,"m^2","ha")</f>
        <v>0.0870944</v>
      </c>
      <c r="K704" s="0" t="b">
        <f aca="false">IF(J704&gt;(I704*2),((ROUNDDOWN(J704/I704,0))-1))</f>
        <v>0</v>
      </c>
    </row>
    <row r="705" customFormat="false" ht="12.75" hidden="false" customHeight="false" outlineLevel="0" collapsed="false">
      <c r="A705" s="5" t="n">
        <v>1067</v>
      </c>
      <c r="B705" s="6" t="s">
        <v>2197</v>
      </c>
      <c r="C705" s="6" t="s">
        <v>12</v>
      </c>
      <c r="D705" s="6" t="s">
        <v>2198</v>
      </c>
      <c r="E705" s="6" t="s">
        <v>14</v>
      </c>
      <c r="F705" s="6" t="n">
        <v>888.98692114</v>
      </c>
      <c r="G705" s="6" t="n">
        <v>889.322</v>
      </c>
      <c r="H705" s="6" t="s">
        <v>792</v>
      </c>
      <c r="I705" s="0" t="n">
        <v>0.4</v>
      </c>
      <c r="J705" s="0" t="n">
        <f aca="false">CONVERT(G705,"m^2","ha")</f>
        <v>0.0889322</v>
      </c>
      <c r="K705" s="0" t="b">
        <f aca="false">IF(J705&gt;(I705*2),((ROUNDDOWN(J705/I705,0))-1))</f>
        <v>0</v>
      </c>
    </row>
    <row r="706" customFormat="false" ht="12.75" hidden="false" customHeight="false" outlineLevel="0" collapsed="false">
      <c r="A706" s="5" t="n">
        <v>1068</v>
      </c>
      <c r="B706" s="6" t="s">
        <v>2199</v>
      </c>
      <c r="C706" s="6" t="s">
        <v>12</v>
      </c>
      <c r="D706" s="6" t="s">
        <v>2200</v>
      </c>
      <c r="E706" s="6" t="s">
        <v>14</v>
      </c>
      <c r="F706" s="6" t="n">
        <v>963.234483255</v>
      </c>
      <c r="G706" s="6" t="n">
        <v>963.473</v>
      </c>
      <c r="H706" s="6" t="s">
        <v>792</v>
      </c>
      <c r="I706" s="0" t="n">
        <v>0.4</v>
      </c>
      <c r="J706" s="0" t="n">
        <f aca="false">CONVERT(G706,"m^2","ha")</f>
        <v>0.0963473</v>
      </c>
      <c r="K706" s="0" t="b">
        <f aca="false">IF(J706&gt;(I706*2),((ROUNDDOWN(J706/I706,0))-1))</f>
        <v>0</v>
      </c>
    </row>
    <row r="707" customFormat="false" ht="12.75" hidden="false" customHeight="false" outlineLevel="0" collapsed="false">
      <c r="A707" s="5" t="n">
        <v>1069</v>
      </c>
      <c r="B707" s="6" t="s">
        <v>2201</v>
      </c>
      <c r="C707" s="6" t="s">
        <v>12</v>
      </c>
      <c r="D707" s="6" t="s">
        <v>2202</v>
      </c>
      <c r="E707" s="6" t="s">
        <v>14</v>
      </c>
      <c r="F707" s="6" t="n">
        <v>4119.57901266</v>
      </c>
      <c r="G707" s="6" t="n">
        <v>4119.465</v>
      </c>
      <c r="H707" s="6" t="s">
        <v>792</v>
      </c>
      <c r="I707" s="0" t="n">
        <v>0.4</v>
      </c>
      <c r="J707" s="0" t="n">
        <f aca="false">CONVERT(G707,"m^2","ha")</f>
        <v>0.4119465</v>
      </c>
      <c r="K707" s="0" t="b">
        <f aca="false">IF(J707&gt;(I707*2),((ROUNDDOWN(J707/I707,0))-1))</f>
        <v>0</v>
      </c>
    </row>
    <row r="708" customFormat="false" ht="12.75" hidden="false" customHeight="false" outlineLevel="0" collapsed="false">
      <c r="A708" s="5" t="n">
        <v>1070</v>
      </c>
      <c r="B708" s="6" t="s">
        <v>2203</v>
      </c>
      <c r="C708" s="6" t="s">
        <v>12</v>
      </c>
      <c r="D708" s="6" t="s">
        <v>2204</v>
      </c>
      <c r="E708" s="6" t="s">
        <v>14</v>
      </c>
      <c r="F708" s="6" t="n">
        <v>5222.88442468</v>
      </c>
      <c r="G708" s="6" t="n">
        <v>5222.884</v>
      </c>
      <c r="H708" s="6" t="s">
        <v>792</v>
      </c>
      <c r="I708" s="0" t="n">
        <v>0.4</v>
      </c>
      <c r="J708" s="0" t="n">
        <f aca="false">CONVERT(G708,"m^2","ha")</f>
        <v>0.5222884</v>
      </c>
      <c r="K708" s="0" t="b">
        <f aca="false">IF(J708&gt;(I708*2),((ROUNDDOWN(J708/I708,0))-1))</f>
        <v>0</v>
      </c>
    </row>
    <row r="709" customFormat="false" ht="12.75" hidden="false" customHeight="false" outlineLevel="0" collapsed="false">
      <c r="A709" s="5" t="n">
        <v>1071</v>
      </c>
      <c r="B709" s="6" t="s">
        <v>2205</v>
      </c>
      <c r="C709" s="6" t="s">
        <v>12</v>
      </c>
      <c r="D709" s="6" t="s">
        <v>2206</v>
      </c>
      <c r="E709" s="6" t="s">
        <v>14</v>
      </c>
      <c r="F709" s="6" t="n">
        <v>2022.543415335</v>
      </c>
      <c r="G709" s="6" t="n">
        <v>2022.543</v>
      </c>
      <c r="H709" s="6" t="s">
        <v>792</v>
      </c>
      <c r="I709" s="0" t="n">
        <v>0.4</v>
      </c>
      <c r="J709" s="0" t="n">
        <f aca="false">CONVERT(G709,"m^2","ha")</f>
        <v>0.2022543</v>
      </c>
      <c r="K709" s="0" t="b">
        <f aca="false">IF(J709&gt;(I709*2),((ROUNDDOWN(J709/I709,0))-1))</f>
        <v>0</v>
      </c>
    </row>
    <row r="710" customFormat="false" ht="12.75" hidden="false" customHeight="false" outlineLevel="0" collapsed="false">
      <c r="A710" s="5" t="n">
        <v>1072</v>
      </c>
      <c r="B710" s="6" t="s">
        <v>2207</v>
      </c>
      <c r="C710" s="6" t="s">
        <v>12</v>
      </c>
      <c r="D710" s="6" t="s">
        <v>2208</v>
      </c>
      <c r="E710" s="6" t="s">
        <v>14</v>
      </c>
      <c r="F710" s="6" t="n">
        <v>3109.742684905</v>
      </c>
      <c r="G710" s="6" t="n">
        <v>3108.249</v>
      </c>
      <c r="H710" s="6" t="s">
        <v>792</v>
      </c>
      <c r="I710" s="0" t="n">
        <v>0.4</v>
      </c>
      <c r="J710" s="0" t="n">
        <f aca="false">CONVERT(G710,"m^2","ha")</f>
        <v>0.3108249</v>
      </c>
      <c r="K710" s="0" t="b">
        <f aca="false">IF(J710&gt;(I710*2),((ROUNDDOWN(J710/I710,0))-1))</f>
        <v>0</v>
      </c>
    </row>
    <row r="711" customFormat="false" ht="12.75" hidden="false" customHeight="false" outlineLevel="0" collapsed="false">
      <c r="A711" s="5" t="n">
        <v>1073</v>
      </c>
      <c r="B711" s="6" t="s">
        <v>2209</v>
      </c>
      <c r="C711" s="6" t="s">
        <v>12</v>
      </c>
      <c r="D711" s="6" t="s">
        <v>2210</v>
      </c>
      <c r="E711" s="6" t="s">
        <v>14</v>
      </c>
      <c r="F711" s="6" t="n">
        <v>2654.090322695</v>
      </c>
      <c r="G711" s="6" t="n">
        <v>2654.09</v>
      </c>
      <c r="H711" s="6" t="s">
        <v>792</v>
      </c>
      <c r="I711" s="0" t="n">
        <v>0.4</v>
      </c>
      <c r="J711" s="0" t="n">
        <f aca="false">CONVERT(G711,"m^2","ha")</f>
        <v>0.265409</v>
      </c>
      <c r="K711" s="0" t="b">
        <f aca="false">IF(J711&gt;(I711*2),((ROUNDDOWN(J711/I711,0))-1))</f>
        <v>0</v>
      </c>
    </row>
    <row r="712" customFormat="false" ht="12.75" hidden="false" customHeight="false" outlineLevel="0" collapsed="false">
      <c r="A712" s="5" t="n">
        <v>1074</v>
      </c>
      <c r="B712" s="6" t="s">
        <v>2211</v>
      </c>
      <c r="C712" s="6" t="s">
        <v>12</v>
      </c>
      <c r="D712" s="6" t="s">
        <v>2212</v>
      </c>
      <c r="E712" s="6" t="s">
        <v>14</v>
      </c>
      <c r="F712" s="6" t="n">
        <v>2387.33392581</v>
      </c>
      <c r="G712" s="6" t="n">
        <v>2387.334</v>
      </c>
      <c r="H712" s="6" t="s">
        <v>792</v>
      </c>
      <c r="I712" s="0" t="n">
        <v>0.4</v>
      </c>
      <c r="J712" s="0" t="n">
        <f aca="false">CONVERT(G712,"m^2","ha")</f>
        <v>0.2387334</v>
      </c>
      <c r="K712" s="0" t="b">
        <f aca="false">IF(J712&gt;(I712*2),((ROUNDDOWN(J712/I712,0))-1))</f>
        <v>0</v>
      </c>
    </row>
    <row r="713" customFormat="false" ht="12.75" hidden="false" customHeight="false" outlineLevel="0" collapsed="false">
      <c r="A713" s="5" t="n">
        <v>1076</v>
      </c>
      <c r="B713" s="6" t="s">
        <v>2213</v>
      </c>
      <c r="C713" s="6" t="s">
        <v>12</v>
      </c>
      <c r="D713" s="6" t="s">
        <v>2214</v>
      </c>
      <c r="E713" s="6" t="s">
        <v>14</v>
      </c>
      <c r="F713" s="6" t="n">
        <v>3934.90911402</v>
      </c>
      <c r="G713" s="6" t="n">
        <v>3934.909</v>
      </c>
      <c r="H713" s="6" t="s">
        <v>792</v>
      </c>
      <c r="I713" s="0" t="n">
        <v>0.4</v>
      </c>
      <c r="J713" s="0" t="n">
        <f aca="false">CONVERT(G713,"m^2","ha")</f>
        <v>0.3934909</v>
      </c>
      <c r="K713" s="0" t="b">
        <f aca="false">IF(J713&gt;(I713*2),((ROUNDDOWN(J713/I713,0))-1))</f>
        <v>0</v>
      </c>
    </row>
    <row r="714" customFormat="false" ht="12.75" hidden="false" customHeight="false" outlineLevel="0" collapsed="false">
      <c r="A714" s="5" t="n">
        <v>1077</v>
      </c>
      <c r="B714" s="6" t="s">
        <v>2215</v>
      </c>
      <c r="C714" s="6" t="s">
        <v>12</v>
      </c>
      <c r="D714" s="6" t="s">
        <v>2216</v>
      </c>
      <c r="E714" s="6" t="s">
        <v>14</v>
      </c>
      <c r="F714" s="6" t="n">
        <v>5446.250504595</v>
      </c>
      <c r="G714" s="6" t="n">
        <v>5446.963</v>
      </c>
      <c r="H714" s="6" t="s">
        <v>792</v>
      </c>
      <c r="I714" s="0" t="n">
        <v>0.4</v>
      </c>
      <c r="J714" s="0" t="n">
        <f aca="false">CONVERT(G714,"m^2","ha")</f>
        <v>0.5446963</v>
      </c>
      <c r="K714" s="0" t="b">
        <f aca="false">IF(J714&gt;(I714*2),((ROUNDDOWN(J714/I714,0))-1))</f>
        <v>0</v>
      </c>
    </row>
    <row r="715" customFormat="false" ht="12.75" hidden="false" customHeight="false" outlineLevel="0" collapsed="false">
      <c r="A715" s="5" t="n">
        <v>1078</v>
      </c>
      <c r="B715" s="6" t="s">
        <v>2217</v>
      </c>
      <c r="C715" s="6" t="s">
        <v>12</v>
      </c>
      <c r="D715" s="6" t="s">
        <v>2218</v>
      </c>
      <c r="E715" s="6" t="s">
        <v>14</v>
      </c>
      <c r="F715" s="6" t="n">
        <v>5472.47724839</v>
      </c>
      <c r="G715" s="6" t="n">
        <v>5472.477</v>
      </c>
      <c r="H715" s="6" t="s">
        <v>792</v>
      </c>
      <c r="I715" s="0" t="n">
        <v>0.4</v>
      </c>
      <c r="J715" s="0" t="n">
        <f aca="false">CONVERT(G715,"m^2","ha")</f>
        <v>0.5472477</v>
      </c>
      <c r="K715" s="0" t="b">
        <f aca="false">IF(J715&gt;(I715*2),((ROUNDDOWN(J715/I715,0))-1))</f>
        <v>0</v>
      </c>
    </row>
    <row r="716" customFormat="false" ht="12.75" hidden="false" customHeight="false" outlineLevel="0" collapsed="false">
      <c r="A716" s="5" t="n">
        <v>1079</v>
      </c>
      <c r="B716" s="6" t="s">
        <v>2219</v>
      </c>
      <c r="C716" s="6" t="s">
        <v>12</v>
      </c>
      <c r="D716" s="6" t="s">
        <v>2220</v>
      </c>
      <c r="E716" s="6" t="s">
        <v>14</v>
      </c>
      <c r="F716" s="6" t="n">
        <v>2742.85570628</v>
      </c>
      <c r="G716" s="6" t="n">
        <v>2742.856</v>
      </c>
      <c r="H716" s="6" t="s">
        <v>792</v>
      </c>
      <c r="I716" s="0" t="n">
        <v>0.4</v>
      </c>
      <c r="J716" s="0" t="n">
        <f aca="false">CONVERT(G716,"m^2","ha")</f>
        <v>0.2742856</v>
      </c>
      <c r="K716" s="0" t="b">
        <f aca="false">IF(J716&gt;(I716*2),((ROUNDDOWN(J716/I716,0))-1))</f>
        <v>0</v>
      </c>
    </row>
    <row r="717" customFormat="false" ht="12.75" hidden="false" customHeight="false" outlineLevel="0" collapsed="false">
      <c r="A717" s="5" t="n">
        <v>1083</v>
      </c>
      <c r="B717" s="6" t="s">
        <v>2221</v>
      </c>
      <c r="C717" s="6" t="s">
        <v>12</v>
      </c>
      <c r="D717" s="6" t="s">
        <v>2222</v>
      </c>
      <c r="E717" s="6" t="s">
        <v>14</v>
      </c>
      <c r="F717" s="6" t="n">
        <v>1925.464165955</v>
      </c>
      <c r="G717" s="6" t="n">
        <v>1925.464</v>
      </c>
      <c r="H717" s="6" t="s">
        <v>792</v>
      </c>
      <c r="I717" s="0" t="n">
        <v>0.4</v>
      </c>
      <c r="J717" s="0" t="n">
        <f aca="false">CONVERT(G717,"m^2","ha")</f>
        <v>0.1925464</v>
      </c>
      <c r="K717" s="0" t="b">
        <f aca="false">IF(J717&gt;(I717*2),((ROUNDDOWN(J717/I717,0))-1))</f>
        <v>0</v>
      </c>
    </row>
    <row r="718" customFormat="false" ht="12.75" hidden="false" customHeight="false" outlineLevel="0" collapsed="false">
      <c r="A718" s="5" t="n">
        <v>1084</v>
      </c>
      <c r="B718" s="6" t="s">
        <v>2223</v>
      </c>
      <c r="C718" s="6" t="s">
        <v>12</v>
      </c>
      <c r="D718" s="6" t="s">
        <v>2224</v>
      </c>
      <c r="E718" s="6" t="s">
        <v>14</v>
      </c>
      <c r="F718" s="6" t="n">
        <v>2165.03835376</v>
      </c>
      <c r="G718" s="6" t="n">
        <v>2165.038</v>
      </c>
      <c r="H718" s="6" t="s">
        <v>792</v>
      </c>
      <c r="I718" s="0" t="n">
        <v>0.4</v>
      </c>
      <c r="J718" s="0" t="n">
        <f aca="false">CONVERT(G718,"m^2","ha")</f>
        <v>0.2165038</v>
      </c>
      <c r="K718" s="0" t="b">
        <f aca="false">IF(J718&gt;(I718*2),((ROUNDDOWN(J718/I718,0))-1))</f>
        <v>0</v>
      </c>
    </row>
    <row r="719" customFormat="false" ht="12.75" hidden="false" customHeight="false" outlineLevel="0" collapsed="false">
      <c r="A719" s="5" t="n">
        <v>1085</v>
      </c>
      <c r="B719" s="6" t="s">
        <v>2225</v>
      </c>
      <c r="C719" s="6" t="s">
        <v>12</v>
      </c>
      <c r="D719" s="6" t="s">
        <v>2226</v>
      </c>
      <c r="E719" s="6" t="s">
        <v>14</v>
      </c>
      <c r="F719" s="6" t="n">
        <v>2710.50899664</v>
      </c>
      <c r="G719" s="6" t="n">
        <v>2710.509</v>
      </c>
      <c r="H719" s="6" t="s">
        <v>792</v>
      </c>
      <c r="I719" s="0" t="n">
        <v>0.4</v>
      </c>
      <c r="J719" s="0" t="n">
        <f aca="false">CONVERT(G719,"m^2","ha")</f>
        <v>0.2710509</v>
      </c>
      <c r="K719" s="0" t="b">
        <f aca="false">IF(J719&gt;(I719*2),((ROUNDDOWN(J719/I719,0))-1))</f>
        <v>0</v>
      </c>
    </row>
    <row r="720" customFormat="false" ht="12.75" hidden="false" customHeight="false" outlineLevel="0" collapsed="false">
      <c r="A720" s="5" t="n">
        <v>1086</v>
      </c>
      <c r="B720" s="6" t="s">
        <v>2227</v>
      </c>
      <c r="C720" s="6" t="s">
        <v>12</v>
      </c>
      <c r="D720" s="6" t="s">
        <v>2228</v>
      </c>
      <c r="E720" s="6" t="s">
        <v>14</v>
      </c>
      <c r="F720" s="6" t="n">
        <v>1621.82490746</v>
      </c>
      <c r="G720" s="6" t="n">
        <v>1621.825</v>
      </c>
      <c r="H720" s="6" t="s">
        <v>792</v>
      </c>
      <c r="I720" s="0" t="n">
        <v>0.4</v>
      </c>
      <c r="J720" s="0" t="n">
        <f aca="false">CONVERT(G720,"m^2","ha")</f>
        <v>0.1621825</v>
      </c>
      <c r="K720" s="0" t="b">
        <f aca="false">IF(J720&gt;(I720*2),((ROUNDDOWN(J720/I720,0))-1))</f>
        <v>0</v>
      </c>
    </row>
    <row r="721" customFormat="false" ht="12.75" hidden="false" customHeight="false" outlineLevel="0" collapsed="false">
      <c r="A721" s="5" t="n">
        <v>1087</v>
      </c>
      <c r="B721" s="6" t="s">
        <v>2229</v>
      </c>
      <c r="C721" s="6" t="s">
        <v>12</v>
      </c>
      <c r="D721" s="6" t="s">
        <v>2230</v>
      </c>
      <c r="E721" s="6" t="s">
        <v>14</v>
      </c>
      <c r="F721" s="6" t="n">
        <v>1925.190226875</v>
      </c>
      <c r="G721" s="6" t="n">
        <v>1925.19</v>
      </c>
      <c r="H721" s="6" t="s">
        <v>792</v>
      </c>
      <c r="I721" s="0" t="n">
        <v>0.4</v>
      </c>
      <c r="J721" s="0" t="n">
        <f aca="false">CONVERT(G721,"m^2","ha")</f>
        <v>0.192519</v>
      </c>
      <c r="K721" s="0" t="b">
        <f aca="false">IF(J721&gt;(I721*2),((ROUNDDOWN(J721/I721,0))-1))</f>
        <v>0</v>
      </c>
    </row>
    <row r="722" customFormat="false" ht="12.75" hidden="false" customHeight="false" outlineLevel="0" collapsed="false">
      <c r="A722" s="5" t="n">
        <v>1088</v>
      </c>
      <c r="B722" s="6" t="s">
        <v>2231</v>
      </c>
      <c r="C722" s="6" t="s">
        <v>12</v>
      </c>
      <c r="D722" s="6" t="s">
        <v>2232</v>
      </c>
      <c r="E722" s="6" t="s">
        <v>14</v>
      </c>
      <c r="F722" s="6" t="n">
        <v>1675.00127103</v>
      </c>
      <c r="G722" s="6" t="n">
        <v>1675.001</v>
      </c>
      <c r="H722" s="6" t="s">
        <v>792</v>
      </c>
      <c r="I722" s="0" t="n">
        <v>0.4</v>
      </c>
      <c r="J722" s="0" t="n">
        <f aca="false">CONVERT(G722,"m^2","ha")</f>
        <v>0.1675001</v>
      </c>
      <c r="K722" s="0" t="b">
        <f aca="false">IF(J722&gt;(I722*2),((ROUNDDOWN(J722/I722,0))-1))</f>
        <v>0</v>
      </c>
    </row>
    <row r="723" customFormat="false" ht="12.75" hidden="false" customHeight="false" outlineLevel="0" collapsed="false">
      <c r="A723" s="5" t="n">
        <v>1089</v>
      </c>
      <c r="B723" s="6" t="s">
        <v>2233</v>
      </c>
      <c r="C723" s="6" t="s">
        <v>12</v>
      </c>
      <c r="D723" s="6" t="s">
        <v>2234</v>
      </c>
      <c r="E723" s="6" t="s">
        <v>14</v>
      </c>
      <c r="F723" s="6" t="n">
        <v>1954.81610099</v>
      </c>
      <c r="G723" s="6" t="n">
        <v>1954.816</v>
      </c>
      <c r="H723" s="6" t="s">
        <v>792</v>
      </c>
      <c r="I723" s="0" t="n">
        <v>0.4</v>
      </c>
      <c r="J723" s="0" t="n">
        <f aca="false">CONVERT(G723,"m^2","ha")</f>
        <v>0.1954816</v>
      </c>
      <c r="K723" s="0" t="b">
        <f aca="false">IF(J723&gt;(I723*2),((ROUNDDOWN(J723/I723,0))-1))</f>
        <v>0</v>
      </c>
    </row>
    <row r="724" customFormat="false" ht="12.75" hidden="false" customHeight="false" outlineLevel="0" collapsed="false">
      <c r="A724" s="5" t="n">
        <v>1090</v>
      </c>
      <c r="B724" s="6" t="s">
        <v>2235</v>
      </c>
      <c r="C724" s="6" t="s">
        <v>12</v>
      </c>
      <c r="D724" s="6" t="s">
        <v>2236</v>
      </c>
      <c r="E724" s="6" t="s">
        <v>14</v>
      </c>
      <c r="F724" s="6" t="n">
        <v>1927.473154335</v>
      </c>
      <c r="G724" s="6" t="n">
        <v>1927.473</v>
      </c>
      <c r="H724" s="6" t="s">
        <v>792</v>
      </c>
      <c r="I724" s="0" t="n">
        <v>0.4</v>
      </c>
      <c r="J724" s="0" t="n">
        <f aca="false">CONVERT(G724,"m^2","ha")</f>
        <v>0.1927473</v>
      </c>
      <c r="K724" s="0" t="b">
        <f aca="false">IF(J724&gt;(I724*2),((ROUNDDOWN(J724/I724,0))-1))</f>
        <v>0</v>
      </c>
    </row>
    <row r="725" customFormat="false" ht="12.75" hidden="false" customHeight="false" outlineLevel="0" collapsed="false">
      <c r="A725" s="5" t="n">
        <v>1091</v>
      </c>
      <c r="B725" s="6" t="s">
        <v>2237</v>
      </c>
      <c r="C725" s="6" t="s">
        <v>12</v>
      </c>
      <c r="D725" s="6" t="s">
        <v>2238</v>
      </c>
      <c r="E725" s="6" t="s">
        <v>14</v>
      </c>
      <c r="F725" s="6" t="n">
        <v>1871.145324335</v>
      </c>
      <c r="G725" s="6" t="n">
        <v>1871.145</v>
      </c>
      <c r="H725" s="6" t="s">
        <v>792</v>
      </c>
      <c r="I725" s="0" t="n">
        <v>0.4</v>
      </c>
      <c r="J725" s="0" t="n">
        <f aca="false">CONVERT(G725,"m^2","ha")</f>
        <v>0.1871145</v>
      </c>
      <c r="K725" s="0" t="b">
        <f aca="false">IF(J725&gt;(I725*2),((ROUNDDOWN(J725/I725,0))-1))</f>
        <v>0</v>
      </c>
    </row>
    <row r="726" customFormat="false" ht="12.75" hidden="false" customHeight="false" outlineLevel="0" collapsed="false">
      <c r="A726" s="5" t="n">
        <v>1092</v>
      </c>
      <c r="B726" s="6" t="s">
        <v>2239</v>
      </c>
      <c r="C726" s="6" t="s">
        <v>12</v>
      </c>
      <c r="D726" s="6" t="s">
        <v>2240</v>
      </c>
      <c r="E726" s="6" t="s">
        <v>14</v>
      </c>
      <c r="F726" s="6" t="n">
        <v>2279.68274805</v>
      </c>
      <c r="G726" s="6" t="n">
        <v>2279.683</v>
      </c>
      <c r="H726" s="6" t="s">
        <v>792</v>
      </c>
      <c r="I726" s="0" t="n">
        <v>0.4</v>
      </c>
      <c r="J726" s="0" t="n">
        <f aca="false">CONVERT(G726,"m^2","ha")</f>
        <v>0.2279683</v>
      </c>
      <c r="K726" s="0" t="b">
        <f aca="false">IF(J726&gt;(I726*2),((ROUNDDOWN(J726/I726,0))-1))</f>
        <v>0</v>
      </c>
    </row>
    <row r="727" customFormat="false" ht="12.75" hidden="false" customHeight="false" outlineLevel="0" collapsed="false">
      <c r="A727" s="5" t="n">
        <v>1095</v>
      </c>
      <c r="B727" s="6" t="s">
        <v>2241</v>
      </c>
      <c r="C727" s="6" t="s">
        <v>12</v>
      </c>
      <c r="D727" s="6" t="s">
        <v>2242</v>
      </c>
      <c r="E727" s="6" t="s">
        <v>14</v>
      </c>
      <c r="F727" s="6" t="n">
        <v>3316.911358995</v>
      </c>
      <c r="G727" s="6" t="n">
        <v>3316.911</v>
      </c>
      <c r="H727" s="6" t="s">
        <v>792</v>
      </c>
      <c r="I727" s="0" t="n">
        <v>0.4</v>
      </c>
      <c r="J727" s="0" t="n">
        <f aca="false">CONVERT(G727,"m^2","ha")</f>
        <v>0.3316911</v>
      </c>
      <c r="K727" s="0" t="b">
        <f aca="false">IF(J727&gt;(I727*2),((ROUNDDOWN(J727/I727,0))-1))</f>
        <v>0</v>
      </c>
    </row>
    <row r="728" customFormat="false" ht="12.75" hidden="false" customHeight="false" outlineLevel="0" collapsed="false">
      <c r="A728" s="5" t="n">
        <v>1096</v>
      </c>
      <c r="B728" s="6" t="s">
        <v>2243</v>
      </c>
      <c r="C728" s="6" t="s">
        <v>12</v>
      </c>
      <c r="D728" s="6" t="s">
        <v>2244</v>
      </c>
      <c r="E728" s="6" t="s">
        <v>14</v>
      </c>
      <c r="F728" s="6" t="n">
        <v>3179.67852714</v>
      </c>
      <c r="G728" s="6" t="n">
        <v>3179.473</v>
      </c>
      <c r="H728" s="6" t="s">
        <v>792</v>
      </c>
      <c r="I728" s="0" t="n">
        <v>0.4</v>
      </c>
      <c r="J728" s="0" t="n">
        <f aca="false">CONVERT(G728,"m^2","ha")</f>
        <v>0.3179473</v>
      </c>
      <c r="K728" s="0" t="b">
        <f aca="false">IF(J728&gt;(I728*2),((ROUNDDOWN(J728/I728,0))-1))</f>
        <v>0</v>
      </c>
    </row>
    <row r="729" customFormat="false" ht="12.75" hidden="false" customHeight="false" outlineLevel="0" collapsed="false">
      <c r="A729" s="5" t="n">
        <v>1099</v>
      </c>
      <c r="B729" s="6" t="s">
        <v>2245</v>
      </c>
      <c r="C729" s="6" t="s">
        <v>12</v>
      </c>
      <c r="D729" s="6" t="s">
        <v>2246</v>
      </c>
      <c r="E729" s="6" t="s">
        <v>14</v>
      </c>
      <c r="F729" s="6" t="n">
        <v>11493.369924435</v>
      </c>
      <c r="G729" s="6" t="n">
        <v>11492.354</v>
      </c>
      <c r="H729" s="6" t="s">
        <v>792</v>
      </c>
      <c r="I729" s="0" t="n">
        <v>0.4</v>
      </c>
      <c r="J729" s="0" t="n">
        <f aca="false">CONVERT(G729,"m^2","ha")</f>
        <v>1.1492354</v>
      </c>
      <c r="K729" s="0" t="n">
        <f aca="false">IF(J729&gt;(I729*2),((ROUNDDOWN(J729/I729,0))-1))</f>
        <v>1</v>
      </c>
    </row>
    <row r="730" customFormat="false" ht="12.75" hidden="false" customHeight="false" outlineLevel="0" collapsed="false">
      <c r="A730" s="5" t="n">
        <v>1101</v>
      </c>
      <c r="B730" s="6" t="s">
        <v>2247</v>
      </c>
      <c r="C730" s="6" t="s">
        <v>89</v>
      </c>
      <c r="D730" s="6" t="s">
        <v>2248</v>
      </c>
      <c r="E730" s="6" t="s">
        <v>14</v>
      </c>
      <c r="F730" s="6" t="n">
        <v>8247.13245033</v>
      </c>
      <c r="G730" s="6" t="n">
        <v>8247.554</v>
      </c>
      <c r="H730" s="6" t="s">
        <v>792</v>
      </c>
      <c r="I730" s="0" t="n">
        <v>0.4</v>
      </c>
      <c r="J730" s="0" t="n">
        <f aca="false">CONVERT(G730,"m^2","ha")</f>
        <v>0.8247554</v>
      </c>
      <c r="K730" s="0" t="n">
        <f aca="false">IF(J730&gt;(I730*2),((ROUNDDOWN(J730/I730,0))-1))</f>
        <v>1</v>
      </c>
    </row>
    <row r="731" customFormat="false" ht="12.75" hidden="false" customHeight="false" outlineLevel="0" collapsed="false">
      <c r="A731" s="5" t="n">
        <v>1103</v>
      </c>
      <c r="B731" s="6" t="s">
        <v>2249</v>
      </c>
      <c r="C731" s="6" t="s">
        <v>12</v>
      </c>
      <c r="D731" s="6" t="s">
        <v>2250</v>
      </c>
      <c r="E731" s="6" t="s">
        <v>14</v>
      </c>
      <c r="F731" s="6" t="n">
        <v>6006.307764755</v>
      </c>
      <c r="G731" s="6" t="n">
        <v>6006.592</v>
      </c>
      <c r="H731" s="6" t="s">
        <v>792</v>
      </c>
      <c r="I731" s="0" t="n">
        <v>0.4</v>
      </c>
      <c r="J731" s="0" t="n">
        <f aca="false">CONVERT(G731,"m^2","ha")</f>
        <v>0.6006592</v>
      </c>
      <c r="K731" s="0" t="b">
        <f aca="false">IF(J731&gt;(I731*2),((ROUNDDOWN(J731/I731,0))-1))</f>
        <v>0</v>
      </c>
    </row>
    <row r="732" customFormat="false" ht="12.75" hidden="false" customHeight="false" outlineLevel="0" collapsed="false">
      <c r="A732" s="5" t="n">
        <v>1104</v>
      </c>
      <c r="B732" s="6" t="s">
        <v>2251</v>
      </c>
      <c r="C732" s="6" t="s">
        <v>89</v>
      </c>
      <c r="D732" s="6" t="s">
        <v>2252</v>
      </c>
      <c r="E732" s="6" t="s">
        <v>14</v>
      </c>
      <c r="F732" s="6" t="n">
        <v>4406.83886838</v>
      </c>
      <c r="G732" s="6" t="n">
        <v>4407.708</v>
      </c>
      <c r="H732" s="6" t="s">
        <v>792</v>
      </c>
      <c r="I732" s="0" t="n">
        <v>0.4</v>
      </c>
      <c r="J732" s="0" t="n">
        <f aca="false">CONVERT(G732,"m^2","ha")</f>
        <v>0.4407708</v>
      </c>
      <c r="K732" s="0" t="b">
        <f aca="false">IF(J732&gt;(I732*2),((ROUNDDOWN(J732/I732,0))-1))</f>
        <v>0</v>
      </c>
    </row>
    <row r="733" customFormat="false" ht="12.75" hidden="false" customHeight="false" outlineLevel="0" collapsed="false">
      <c r="A733" s="5" t="n">
        <v>1105</v>
      </c>
      <c r="B733" s="6" t="s">
        <v>2253</v>
      </c>
      <c r="C733" s="6" t="s">
        <v>12</v>
      </c>
      <c r="D733" s="6" t="s">
        <v>2254</v>
      </c>
      <c r="E733" s="6" t="s">
        <v>14</v>
      </c>
      <c r="F733" s="6" t="n">
        <v>6027.75852142</v>
      </c>
      <c r="G733" s="6" t="n">
        <v>6028.144</v>
      </c>
      <c r="H733" s="6" t="s">
        <v>792</v>
      </c>
      <c r="I733" s="0" t="n">
        <v>0.4</v>
      </c>
      <c r="J733" s="0" t="n">
        <f aca="false">CONVERT(G733,"m^2","ha")</f>
        <v>0.6028144</v>
      </c>
      <c r="K733" s="0" t="b">
        <f aca="false">IF(J733&gt;(I733*2),((ROUNDDOWN(J733/I733,0))-1))</f>
        <v>0</v>
      </c>
    </row>
    <row r="734" customFormat="false" ht="12.75" hidden="false" customHeight="false" outlineLevel="0" collapsed="false">
      <c r="A734" s="5" t="n">
        <v>1107</v>
      </c>
      <c r="B734" s="6" t="s">
        <v>2255</v>
      </c>
      <c r="C734" s="6" t="s">
        <v>12</v>
      </c>
      <c r="D734" s="6" t="s">
        <v>2256</v>
      </c>
      <c r="E734" s="6" t="s">
        <v>14</v>
      </c>
      <c r="F734" s="6" t="n">
        <v>3582.60006027</v>
      </c>
      <c r="G734" s="6" t="n">
        <v>3582.077</v>
      </c>
      <c r="H734" s="6" t="s">
        <v>792</v>
      </c>
      <c r="I734" s="0" t="n">
        <v>0.4</v>
      </c>
      <c r="J734" s="0" t="n">
        <f aca="false">CONVERT(G734,"m^2","ha")</f>
        <v>0.3582077</v>
      </c>
      <c r="K734" s="0" t="b">
        <f aca="false">IF(J734&gt;(I734*2),((ROUNDDOWN(J734/I734,0))-1))</f>
        <v>0</v>
      </c>
    </row>
    <row r="735" customFormat="false" ht="12.75" hidden="false" customHeight="false" outlineLevel="0" collapsed="false">
      <c r="A735" s="5" t="n">
        <v>1108</v>
      </c>
      <c r="B735" s="6" t="s">
        <v>2257</v>
      </c>
      <c r="C735" s="6" t="s">
        <v>12</v>
      </c>
      <c r="D735" s="6" t="s">
        <v>2258</v>
      </c>
      <c r="E735" s="6" t="s">
        <v>14</v>
      </c>
      <c r="F735" s="6" t="n">
        <v>5675.54098316</v>
      </c>
      <c r="G735" s="6" t="n">
        <v>5675.541</v>
      </c>
      <c r="H735" s="6" t="s">
        <v>792</v>
      </c>
      <c r="I735" s="0" t="n">
        <v>0.4</v>
      </c>
      <c r="J735" s="0" t="n">
        <f aca="false">CONVERT(G735,"m^2","ha")</f>
        <v>0.5675541</v>
      </c>
      <c r="K735" s="0" t="b">
        <f aca="false">IF(J735&gt;(I735*2),((ROUNDDOWN(J735/I735,0))-1))</f>
        <v>0</v>
      </c>
    </row>
    <row r="736" customFormat="false" ht="12.75" hidden="false" customHeight="false" outlineLevel="0" collapsed="false">
      <c r="A736" s="5" t="n">
        <v>1109</v>
      </c>
      <c r="B736" s="6" t="s">
        <v>2259</v>
      </c>
      <c r="C736" s="6" t="s">
        <v>89</v>
      </c>
      <c r="D736" s="6" t="s">
        <v>2260</v>
      </c>
      <c r="E736" s="6" t="s">
        <v>14</v>
      </c>
      <c r="F736" s="6" t="n">
        <v>1472.37107878</v>
      </c>
      <c r="G736" s="6" t="n">
        <v>1472.371</v>
      </c>
      <c r="H736" s="6" t="s">
        <v>792</v>
      </c>
      <c r="I736" s="0" t="n">
        <v>0.4</v>
      </c>
      <c r="J736" s="0" t="n">
        <f aca="false">CONVERT(G736,"m^2","ha")</f>
        <v>0.1472371</v>
      </c>
      <c r="K736" s="0" t="b">
        <f aca="false">IF(J736&gt;(I736*2),((ROUNDDOWN(J736/I736,0))-1))</f>
        <v>0</v>
      </c>
    </row>
    <row r="737" customFormat="false" ht="12.75" hidden="false" customHeight="false" outlineLevel="0" collapsed="false">
      <c r="A737" s="5" t="n">
        <v>1132</v>
      </c>
      <c r="B737" s="6" t="s">
        <v>2261</v>
      </c>
      <c r="C737" s="6" t="s">
        <v>12</v>
      </c>
      <c r="D737" s="6" t="s">
        <v>2262</v>
      </c>
      <c r="E737" s="6" t="s">
        <v>14</v>
      </c>
      <c r="F737" s="6" t="n">
        <v>5990.62295836</v>
      </c>
      <c r="G737" s="6" t="n">
        <v>5990.339</v>
      </c>
      <c r="H737" s="6" t="s">
        <v>792</v>
      </c>
      <c r="I737" s="0" t="n">
        <v>0.4</v>
      </c>
      <c r="J737" s="0" t="n">
        <f aca="false">CONVERT(G737,"m^2","ha")</f>
        <v>0.5990339</v>
      </c>
      <c r="K737" s="0" t="b">
        <f aca="false">IF(J737&gt;(I737*2),((ROUNDDOWN(J737/I737,0))-1))</f>
        <v>0</v>
      </c>
    </row>
    <row r="738" customFormat="false" ht="12.75" hidden="false" customHeight="false" outlineLevel="0" collapsed="false">
      <c r="A738" s="5" t="n">
        <v>1133</v>
      </c>
      <c r="B738" s="6" t="s">
        <v>2263</v>
      </c>
      <c r="C738" s="6" t="s">
        <v>12</v>
      </c>
      <c r="D738" s="6" t="s">
        <v>2264</v>
      </c>
      <c r="E738" s="6" t="s">
        <v>14</v>
      </c>
      <c r="F738" s="6" t="n">
        <v>2998.27686513</v>
      </c>
      <c r="G738" s="6" t="n">
        <v>2996.567</v>
      </c>
      <c r="H738" s="6" t="s">
        <v>792</v>
      </c>
      <c r="I738" s="0" t="n">
        <v>0.4</v>
      </c>
      <c r="J738" s="0" t="n">
        <f aca="false">CONVERT(G738,"m^2","ha")</f>
        <v>0.2996567</v>
      </c>
      <c r="K738" s="0" t="b">
        <f aca="false">IF(J738&gt;(I738*2),((ROUNDDOWN(J738/I738,0))-1))</f>
        <v>0</v>
      </c>
    </row>
    <row r="739" customFormat="false" ht="12.75" hidden="false" customHeight="false" outlineLevel="0" collapsed="false">
      <c r="A739" s="5" t="n">
        <v>1134</v>
      </c>
      <c r="B739" s="6" t="s">
        <v>2265</v>
      </c>
      <c r="C739" s="6" t="s">
        <v>12</v>
      </c>
      <c r="D739" s="6" t="s">
        <v>2266</v>
      </c>
      <c r="E739" s="6" t="s">
        <v>14</v>
      </c>
      <c r="F739" s="6" t="n">
        <v>2675.169578365</v>
      </c>
      <c r="G739" s="6" t="n">
        <v>2675.17</v>
      </c>
      <c r="H739" s="6" t="s">
        <v>792</v>
      </c>
      <c r="I739" s="0" t="n">
        <v>0.4</v>
      </c>
      <c r="J739" s="0" t="n">
        <f aca="false">CONVERT(G739,"m^2","ha")</f>
        <v>0.267517</v>
      </c>
      <c r="K739" s="0" t="b">
        <f aca="false">IF(J739&gt;(I739*2),((ROUNDDOWN(J739/I739,0))-1))</f>
        <v>0</v>
      </c>
    </row>
    <row r="740" customFormat="false" ht="12.75" hidden="false" customHeight="false" outlineLevel="0" collapsed="false">
      <c r="A740" s="5" t="n">
        <v>1145</v>
      </c>
      <c r="B740" s="6" t="s">
        <v>2267</v>
      </c>
      <c r="C740" s="6" t="s">
        <v>12</v>
      </c>
      <c r="D740" s="6" t="s">
        <v>2268</v>
      </c>
      <c r="E740" s="6" t="s">
        <v>14</v>
      </c>
      <c r="F740" s="6" t="n">
        <v>1894.70116398</v>
      </c>
      <c r="G740" s="6" t="n">
        <v>1894.701</v>
      </c>
      <c r="H740" s="6" t="s">
        <v>792</v>
      </c>
      <c r="I740" s="0" t="n">
        <v>0.4</v>
      </c>
      <c r="J740" s="0" t="n">
        <f aca="false">CONVERT(G740,"m^2","ha")</f>
        <v>0.1894701</v>
      </c>
      <c r="K740" s="0" t="b">
        <f aca="false">IF(J740&gt;(I740*2),((ROUNDDOWN(J740/I740,0))-1))</f>
        <v>0</v>
      </c>
    </row>
    <row r="741" customFormat="false" ht="12.75" hidden="false" customHeight="false" outlineLevel="0" collapsed="false">
      <c r="A741" s="5" t="n">
        <v>1148</v>
      </c>
      <c r="B741" s="6" t="s">
        <v>2269</v>
      </c>
      <c r="C741" s="6" t="s">
        <v>12</v>
      </c>
      <c r="D741" s="6" t="s">
        <v>2270</v>
      </c>
      <c r="E741" s="6" t="s">
        <v>14</v>
      </c>
      <c r="F741" s="6" t="n">
        <v>1278.172490065</v>
      </c>
      <c r="G741" s="6" t="n">
        <v>1278.013</v>
      </c>
      <c r="H741" s="6" t="s">
        <v>792</v>
      </c>
      <c r="I741" s="0" t="n">
        <v>0.4</v>
      </c>
      <c r="J741" s="0" t="n">
        <f aca="false">CONVERT(G741,"m^2","ha")</f>
        <v>0.1278013</v>
      </c>
      <c r="K741" s="0" t="b">
        <f aca="false">IF(J741&gt;(I741*2),((ROUNDDOWN(J741/I741,0))-1))</f>
        <v>0</v>
      </c>
    </row>
    <row r="742" customFormat="false" ht="12.75" hidden="false" customHeight="false" outlineLevel="0" collapsed="false">
      <c r="A742" s="5" t="n">
        <v>1150</v>
      </c>
      <c r="B742" s="6" t="s">
        <v>2271</v>
      </c>
      <c r="C742" s="6" t="s">
        <v>12</v>
      </c>
      <c r="D742" s="6" t="s">
        <v>2272</v>
      </c>
      <c r="E742" s="6" t="s">
        <v>14</v>
      </c>
      <c r="F742" s="6" t="n">
        <v>2341.07707118</v>
      </c>
      <c r="G742" s="6" t="n">
        <v>2340.986</v>
      </c>
      <c r="H742" s="6" t="s">
        <v>792</v>
      </c>
      <c r="I742" s="0" t="n">
        <v>0.4</v>
      </c>
      <c r="J742" s="0" t="n">
        <f aca="false">CONVERT(G742,"m^2","ha")</f>
        <v>0.2340986</v>
      </c>
      <c r="K742" s="0" t="b">
        <f aca="false">IF(J742&gt;(I742*2),((ROUNDDOWN(J742/I742,0))-1))</f>
        <v>0</v>
      </c>
    </row>
    <row r="743" customFormat="false" ht="12.75" hidden="false" customHeight="false" outlineLevel="0" collapsed="false">
      <c r="A743" s="5" t="n">
        <v>1151</v>
      </c>
      <c r="B743" s="6" t="s">
        <v>2273</v>
      </c>
      <c r="C743" s="6" t="s">
        <v>12</v>
      </c>
      <c r="D743" s="6" t="s">
        <v>2274</v>
      </c>
      <c r="E743" s="6" t="s">
        <v>14</v>
      </c>
      <c r="F743" s="6" t="n">
        <v>1084.04819575</v>
      </c>
      <c r="G743" s="6" t="n">
        <v>1083.774</v>
      </c>
      <c r="H743" s="6" t="s">
        <v>792</v>
      </c>
      <c r="I743" s="0" t="n">
        <v>0.4</v>
      </c>
      <c r="J743" s="0" t="n">
        <f aca="false">CONVERT(G743,"m^2","ha")</f>
        <v>0.1083774</v>
      </c>
      <c r="K743" s="0" t="b">
        <f aca="false">IF(J743&gt;(I743*2),((ROUNDDOWN(J743/I743,0))-1))</f>
        <v>0</v>
      </c>
    </row>
    <row r="744" customFormat="false" ht="12.75" hidden="false" customHeight="false" outlineLevel="0" collapsed="false">
      <c r="A744" s="5" t="n">
        <v>1152</v>
      </c>
      <c r="B744" s="6" t="s">
        <v>2275</v>
      </c>
      <c r="C744" s="6" t="s">
        <v>12</v>
      </c>
      <c r="D744" s="6" t="s">
        <v>2276</v>
      </c>
      <c r="E744" s="6" t="s">
        <v>14</v>
      </c>
      <c r="F744" s="6" t="n">
        <v>3746.69563645</v>
      </c>
      <c r="G744" s="6" t="n">
        <v>3746.696</v>
      </c>
      <c r="H744" s="6" t="s">
        <v>792</v>
      </c>
      <c r="I744" s="0" t="n">
        <v>0.4</v>
      </c>
      <c r="J744" s="0" t="n">
        <f aca="false">CONVERT(G744,"m^2","ha")</f>
        <v>0.3746696</v>
      </c>
      <c r="K744" s="0" t="b">
        <f aca="false">IF(J744&gt;(I744*2),((ROUNDDOWN(J744/I744,0))-1))</f>
        <v>0</v>
      </c>
    </row>
    <row r="745" customFormat="false" ht="12.75" hidden="false" customHeight="false" outlineLevel="0" collapsed="false">
      <c r="A745" s="5" t="n">
        <v>1153</v>
      </c>
      <c r="B745" s="6" t="s">
        <v>2277</v>
      </c>
      <c r="C745" s="6" t="s">
        <v>12</v>
      </c>
      <c r="D745" s="6" t="s">
        <v>2278</v>
      </c>
      <c r="E745" s="6" t="s">
        <v>14</v>
      </c>
      <c r="F745" s="6" t="n">
        <v>6483.792839155</v>
      </c>
      <c r="G745" s="6" t="n">
        <v>6483.793</v>
      </c>
      <c r="H745" s="6" t="s">
        <v>792</v>
      </c>
      <c r="I745" s="0" t="n">
        <v>0.4</v>
      </c>
      <c r="J745" s="0" t="n">
        <f aca="false">CONVERT(G745,"m^2","ha")</f>
        <v>0.6483793</v>
      </c>
      <c r="K745" s="0" t="b">
        <f aca="false">IF(J745&gt;(I745*2),((ROUNDDOWN(J745/I745,0))-1))</f>
        <v>0</v>
      </c>
    </row>
    <row r="746" customFormat="false" ht="12.75" hidden="false" customHeight="false" outlineLevel="0" collapsed="false">
      <c r="A746" s="5" t="n">
        <v>1157</v>
      </c>
      <c r="B746" s="6" t="s">
        <v>2279</v>
      </c>
      <c r="C746" s="6" t="s">
        <v>12</v>
      </c>
      <c r="D746" s="6" t="s">
        <v>2280</v>
      </c>
      <c r="E746" s="6" t="s">
        <v>14</v>
      </c>
      <c r="F746" s="6" t="n">
        <v>1030.33504587</v>
      </c>
      <c r="G746" s="6" t="n">
        <v>1030.335</v>
      </c>
      <c r="H746" s="6" t="s">
        <v>792</v>
      </c>
      <c r="I746" s="0" t="n">
        <v>0.4</v>
      </c>
      <c r="J746" s="0" t="n">
        <f aca="false">CONVERT(G746,"m^2","ha")</f>
        <v>0.1030335</v>
      </c>
      <c r="K746" s="0" t="b">
        <f aca="false">IF(J746&gt;(I746*2),((ROUNDDOWN(J746/I746,0))-1))</f>
        <v>0</v>
      </c>
    </row>
    <row r="747" customFormat="false" ht="12.75" hidden="false" customHeight="false" outlineLevel="0" collapsed="false">
      <c r="A747" s="5" t="n">
        <v>1158</v>
      </c>
      <c r="B747" s="6" t="s">
        <v>2281</v>
      </c>
      <c r="C747" s="6" t="s">
        <v>12</v>
      </c>
      <c r="D747" s="6" t="s">
        <v>2282</v>
      </c>
      <c r="E747" s="6" t="s">
        <v>14</v>
      </c>
      <c r="F747" s="6" t="n">
        <v>1052.72904555</v>
      </c>
      <c r="G747" s="6" t="n">
        <v>1052.729</v>
      </c>
      <c r="H747" s="6" t="s">
        <v>792</v>
      </c>
      <c r="I747" s="0" t="n">
        <v>0.4</v>
      </c>
      <c r="J747" s="0" t="n">
        <f aca="false">CONVERT(G747,"m^2","ha")</f>
        <v>0.1052729</v>
      </c>
      <c r="K747" s="0" t="b">
        <f aca="false">IF(J747&gt;(I747*2),((ROUNDDOWN(J747/I747,0))-1))</f>
        <v>0</v>
      </c>
    </row>
    <row r="748" customFormat="false" ht="12.75" hidden="false" customHeight="false" outlineLevel="0" collapsed="false">
      <c r="A748" s="5" t="n">
        <v>1159</v>
      </c>
      <c r="B748" s="6" t="s">
        <v>2283</v>
      </c>
      <c r="C748" s="6" t="s">
        <v>12</v>
      </c>
      <c r="D748" s="6" t="s">
        <v>2284</v>
      </c>
      <c r="E748" s="6" t="s">
        <v>14</v>
      </c>
      <c r="F748" s="6" t="n">
        <v>1013.492469405</v>
      </c>
      <c r="G748" s="6" t="n">
        <v>1013.492</v>
      </c>
      <c r="H748" s="6" t="s">
        <v>792</v>
      </c>
      <c r="I748" s="0" t="n">
        <v>0.4</v>
      </c>
      <c r="J748" s="0" t="n">
        <f aca="false">CONVERT(G748,"m^2","ha")</f>
        <v>0.1013492</v>
      </c>
      <c r="K748" s="0" t="b">
        <f aca="false">IF(J748&gt;(I748*2),((ROUNDDOWN(J748/I748,0))-1))</f>
        <v>0</v>
      </c>
    </row>
    <row r="749" customFormat="false" ht="12.75" hidden="false" customHeight="false" outlineLevel="0" collapsed="false">
      <c r="A749" s="5" t="n">
        <v>1160</v>
      </c>
      <c r="B749" s="6" t="s">
        <v>2285</v>
      </c>
      <c r="C749" s="6" t="s">
        <v>12</v>
      </c>
      <c r="D749" s="6" t="s">
        <v>2286</v>
      </c>
      <c r="E749" s="6" t="s">
        <v>14</v>
      </c>
      <c r="F749" s="6" t="n">
        <v>1045.849226265</v>
      </c>
      <c r="G749" s="6" t="n">
        <v>1045.849</v>
      </c>
      <c r="H749" s="6" t="s">
        <v>792</v>
      </c>
      <c r="I749" s="0" t="n">
        <v>0.4</v>
      </c>
      <c r="J749" s="0" t="n">
        <f aca="false">CONVERT(G749,"m^2","ha")</f>
        <v>0.1045849</v>
      </c>
      <c r="K749" s="0" t="b">
        <f aca="false">IF(J749&gt;(I749*2),((ROUNDDOWN(J749/I749,0))-1))</f>
        <v>0</v>
      </c>
    </row>
    <row r="750" customFormat="false" ht="12.75" hidden="false" customHeight="false" outlineLevel="0" collapsed="false">
      <c r="A750" s="5" t="n">
        <v>1161</v>
      </c>
      <c r="B750" s="6" t="s">
        <v>2287</v>
      </c>
      <c r="C750" s="6" t="s">
        <v>12</v>
      </c>
      <c r="D750" s="6" t="s">
        <v>2288</v>
      </c>
      <c r="E750" s="6" t="s">
        <v>14</v>
      </c>
      <c r="F750" s="6" t="n">
        <v>983.088519725</v>
      </c>
      <c r="G750" s="6" t="n">
        <v>983.089</v>
      </c>
      <c r="H750" s="6" t="s">
        <v>792</v>
      </c>
      <c r="I750" s="0" t="n">
        <v>0.4</v>
      </c>
      <c r="J750" s="0" t="n">
        <f aca="false">CONVERT(G750,"m^2","ha")</f>
        <v>0.0983089</v>
      </c>
      <c r="K750" s="0" t="b">
        <f aca="false">IF(J750&gt;(I750*2),((ROUNDDOWN(J750/I750,0))-1))</f>
        <v>0</v>
      </c>
    </row>
    <row r="751" customFormat="false" ht="12.75" hidden="false" customHeight="false" outlineLevel="0" collapsed="false">
      <c r="A751" s="5" t="n">
        <v>1162</v>
      </c>
      <c r="B751" s="6" t="s">
        <v>2289</v>
      </c>
      <c r="C751" s="6" t="s">
        <v>12</v>
      </c>
      <c r="D751" s="6" t="s">
        <v>2290</v>
      </c>
      <c r="E751" s="6" t="s">
        <v>14</v>
      </c>
      <c r="F751" s="6" t="n">
        <v>1006.1248532</v>
      </c>
      <c r="G751" s="6" t="n">
        <v>1006.125</v>
      </c>
      <c r="H751" s="6" t="s">
        <v>792</v>
      </c>
      <c r="I751" s="0" t="n">
        <v>0.4</v>
      </c>
      <c r="J751" s="0" t="n">
        <f aca="false">CONVERT(G751,"m^2","ha")</f>
        <v>0.1006125</v>
      </c>
      <c r="K751" s="0" t="b">
        <f aca="false">IF(J751&gt;(I751*2),((ROUNDDOWN(J751/I751,0))-1))</f>
        <v>0</v>
      </c>
    </row>
    <row r="752" customFormat="false" ht="12.75" hidden="false" customHeight="false" outlineLevel="0" collapsed="false">
      <c r="A752" s="5" t="n">
        <v>1163</v>
      </c>
      <c r="B752" s="6" t="s">
        <v>2291</v>
      </c>
      <c r="C752" s="6" t="s">
        <v>12</v>
      </c>
      <c r="D752" s="6" t="s">
        <v>2292</v>
      </c>
      <c r="E752" s="6" t="s">
        <v>14</v>
      </c>
      <c r="F752" s="6" t="n">
        <v>1003.24033976</v>
      </c>
      <c r="G752" s="6" t="n">
        <v>1003.24</v>
      </c>
      <c r="H752" s="6" t="s">
        <v>792</v>
      </c>
      <c r="I752" s="0" t="n">
        <v>0.4</v>
      </c>
      <c r="J752" s="0" t="n">
        <f aca="false">CONVERT(G752,"m^2","ha")</f>
        <v>0.100324</v>
      </c>
      <c r="K752" s="0" t="b">
        <f aca="false">IF(J752&gt;(I752*2),((ROUNDDOWN(J752/I752,0))-1))</f>
        <v>0</v>
      </c>
    </row>
    <row r="753" customFormat="false" ht="12.75" hidden="false" customHeight="false" outlineLevel="0" collapsed="false">
      <c r="A753" s="5" t="n">
        <v>1164</v>
      </c>
      <c r="B753" s="6" t="s">
        <v>2293</v>
      </c>
      <c r="C753" s="6" t="s">
        <v>12</v>
      </c>
      <c r="D753" s="6" t="s">
        <v>2294</v>
      </c>
      <c r="E753" s="6" t="s">
        <v>14</v>
      </c>
      <c r="F753" s="6" t="n">
        <v>985.84548185</v>
      </c>
      <c r="G753" s="6" t="n">
        <v>985.845</v>
      </c>
      <c r="H753" s="6" t="s">
        <v>792</v>
      </c>
      <c r="I753" s="0" t="n">
        <v>0.4</v>
      </c>
      <c r="J753" s="0" t="n">
        <f aca="false">CONVERT(G753,"m^2","ha")</f>
        <v>0.0985845</v>
      </c>
      <c r="K753" s="0" t="b">
        <f aca="false">IF(J753&gt;(I753*2),((ROUNDDOWN(J753/I753,0))-1))</f>
        <v>0</v>
      </c>
    </row>
    <row r="754" customFormat="false" ht="12.75" hidden="false" customHeight="false" outlineLevel="0" collapsed="false">
      <c r="A754" s="5" t="n">
        <v>1165</v>
      </c>
      <c r="B754" s="6" t="s">
        <v>2295</v>
      </c>
      <c r="C754" s="6" t="s">
        <v>12</v>
      </c>
      <c r="D754" s="6" t="s">
        <v>2296</v>
      </c>
      <c r="E754" s="6" t="s">
        <v>14</v>
      </c>
      <c r="F754" s="6" t="n">
        <v>1030.63998912</v>
      </c>
      <c r="G754" s="6" t="n">
        <v>1030.64</v>
      </c>
      <c r="H754" s="6" t="s">
        <v>792</v>
      </c>
      <c r="I754" s="0" t="n">
        <v>0.4</v>
      </c>
      <c r="J754" s="0" t="n">
        <f aca="false">CONVERT(G754,"m^2","ha")</f>
        <v>0.103064</v>
      </c>
      <c r="K754" s="0" t="b">
        <f aca="false">IF(J754&gt;(I754*2),((ROUNDDOWN(J754/I754,0))-1))</f>
        <v>0</v>
      </c>
    </row>
    <row r="755" customFormat="false" ht="12.75" hidden="false" customHeight="false" outlineLevel="0" collapsed="false">
      <c r="A755" s="5" t="n">
        <v>1166</v>
      </c>
      <c r="B755" s="6" t="s">
        <v>2297</v>
      </c>
      <c r="C755" s="6" t="s">
        <v>12</v>
      </c>
      <c r="D755" s="6" t="s">
        <v>2298</v>
      </c>
      <c r="E755" s="6" t="s">
        <v>14</v>
      </c>
      <c r="F755" s="6" t="n">
        <v>1005.141720965</v>
      </c>
      <c r="G755" s="6" t="n">
        <v>1005.142</v>
      </c>
      <c r="H755" s="6" t="s">
        <v>792</v>
      </c>
      <c r="I755" s="0" t="n">
        <v>0.4</v>
      </c>
      <c r="J755" s="0" t="n">
        <f aca="false">CONVERT(G755,"m^2","ha")</f>
        <v>0.1005142</v>
      </c>
      <c r="K755" s="0" t="b">
        <f aca="false">IF(J755&gt;(I755*2),((ROUNDDOWN(J755/I755,0))-1))</f>
        <v>0</v>
      </c>
    </row>
    <row r="756" customFormat="false" ht="12.75" hidden="false" customHeight="false" outlineLevel="0" collapsed="false">
      <c r="A756" s="5" t="n">
        <v>1167</v>
      </c>
      <c r="B756" s="6" t="s">
        <v>2299</v>
      </c>
      <c r="C756" s="6" t="s">
        <v>12</v>
      </c>
      <c r="D756" s="6" t="s">
        <v>2300</v>
      </c>
      <c r="E756" s="6" t="s">
        <v>14</v>
      </c>
      <c r="F756" s="6" t="n">
        <v>1044.885263495</v>
      </c>
      <c r="G756" s="6" t="n">
        <v>1044.885</v>
      </c>
      <c r="H756" s="6" t="s">
        <v>792</v>
      </c>
      <c r="I756" s="0" t="n">
        <v>0.4</v>
      </c>
      <c r="J756" s="0" t="n">
        <f aca="false">CONVERT(G756,"m^2","ha")</f>
        <v>0.1044885</v>
      </c>
      <c r="K756" s="0" t="b">
        <f aca="false">IF(J756&gt;(I756*2),((ROUNDDOWN(J756/I756,0))-1))</f>
        <v>0</v>
      </c>
    </row>
    <row r="757" customFormat="false" ht="12.75" hidden="false" customHeight="false" outlineLevel="0" collapsed="false">
      <c r="A757" s="5" t="n">
        <v>1168</v>
      </c>
      <c r="B757" s="6" t="s">
        <v>2301</v>
      </c>
      <c r="C757" s="6" t="s">
        <v>12</v>
      </c>
      <c r="D757" s="6" t="s">
        <v>2302</v>
      </c>
      <c r="E757" s="6" t="s">
        <v>14</v>
      </c>
      <c r="F757" s="6" t="n">
        <v>1036.04341031</v>
      </c>
      <c r="G757" s="6" t="n">
        <v>1036.043</v>
      </c>
      <c r="H757" s="6" t="s">
        <v>792</v>
      </c>
      <c r="I757" s="0" t="n">
        <v>0.4</v>
      </c>
      <c r="J757" s="0" t="n">
        <f aca="false">CONVERT(G757,"m^2","ha")</f>
        <v>0.1036043</v>
      </c>
      <c r="K757" s="0" t="b">
        <f aca="false">IF(J757&gt;(I757*2),((ROUNDDOWN(J757/I757,0))-1))</f>
        <v>0</v>
      </c>
    </row>
    <row r="758" customFormat="false" ht="12.75" hidden="false" customHeight="false" outlineLevel="0" collapsed="false">
      <c r="A758" s="5" t="n">
        <v>1169</v>
      </c>
      <c r="B758" s="6" t="s">
        <v>2303</v>
      </c>
      <c r="C758" s="6" t="s">
        <v>12</v>
      </c>
      <c r="D758" s="6" t="s">
        <v>2304</v>
      </c>
      <c r="E758" s="6" t="s">
        <v>14</v>
      </c>
      <c r="F758" s="6" t="n">
        <v>1019.381534495</v>
      </c>
      <c r="G758" s="6" t="n">
        <v>1019.382</v>
      </c>
      <c r="H758" s="6" t="s">
        <v>792</v>
      </c>
      <c r="I758" s="0" t="n">
        <v>0.4</v>
      </c>
      <c r="J758" s="0" t="n">
        <f aca="false">CONVERT(G758,"m^2","ha")</f>
        <v>0.1019382</v>
      </c>
      <c r="K758" s="0" t="b">
        <f aca="false">IF(J758&gt;(I758*2),((ROUNDDOWN(J758/I758,0))-1))</f>
        <v>0</v>
      </c>
    </row>
    <row r="759" customFormat="false" ht="12.75" hidden="false" customHeight="false" outlineLevel="0" collapsed="false">
      <c r="A759" s="5" t="n">
        <v>1170</v>
      </c>
      <c r="B759" s="6" t="s">
        <v>2305</v>
      </c>
      <c r="C759" s="6" t="s">
        <v>12</v>
      </c>
      <c r="D759" s="6" t="s">
        <v>2306</v>
      </c>
      <c r="E759" s="6" t="s">
        <v>14</v>
      </c>
      <c r="F759" s="6" t="n">
        <v>1004.627351985</v>
      </c>
      <c r="G759" s="6" t="n">
        <v>1004.627</v>
      </c>
      <c r="H759" s="6" t="s">
        <v>792</v>
      </c>
      <c r="I759" s="0" t="n">
        <v>0.4</v>
      </c>
      <c r="J759" s="0" t="n">
        <f aca="false">CONVERT(G759,"m^2","ha")</f>
        <v>0.1004627</v>
      </c>
      <c r="K759" s="0" t="b">
        <f aca="false">IF(J759&gt;(I759*2),((ROUNDDOWN(J759/I759,0))-1))</f>
        <v>0</v>
      </c>
    </row>
    <row r="760" customFormat="false" ht="12.75" hidden="false" customHeight="false" outlineLevel="0" collapsed="false">
      <c r="A760" s="5" t="n">
        <v>1171</v>
      </c>
      <c r="B760" s="6" t="s">
        <v>2307</v>
      </c>
      <c r="C760" s="6" t="s">
        <v>12</v>
      </c>
      <c r="D760" s="6" t="s">
        <v>2308</v>
      </c>
      <c r="E760" s="6" t="s">
        <v>14</v>
      </c>
      <c r="F760" s="6" t="n">
        <v>1056.410785925</v>
      </c>
      <c r="G760" s="6" t="n">
        <v>1056.411</v>
      </c>
      <c r="H760" s="6" t="s">
        <v>792</v>
      </c>
      <c r="I760" s="0" t="n">
        <v>0.4</v>
      </c>
      <c r="J760" s="0" t="n">
        <f aca="false">CONVERT(G760,"m^2","ha")</f>
        <v>0.1056411</v>
      </c>
      <c r="K760" s="0" t="b">
        <f aca="false">IF(J760&gt;(I760*2),((ROUNDDOWN(J760/I760,0))-1))</f>
        <v>0</v>
      </c>
    </row>
    <row r="761" customFormat="false" ht="12.75" hidden="false" customHeight="false" outlineLevel="0" collapsed="false">
      <c r="A761" s="5" t="n">
        <v>1172</v>
      </c>
      <c r="B761" s="6" t="s">
        <v>2309</v>
      </c>
      <c r="C761" s="6" t="s">
        <v>12</v>
      </c>
      <c r="D761" s="6" t="s">
        <v>2310</v>
      </c>
      <c r="E761" s="6" t="s">
        <v>14</v>
      </c>
      <c r="F761" s="6" t="n">
        <v>1017.188478585</v>
      </c>
      <c r="G761" s="6" t="n">
        <v>1017.188</v>
      </c>
      <c r="H761" s="6" t="s">
        <v>792</v>
      </c>
      <c r="I761" s="0" t="n">
        <v>0.4</v>
      </c>
      <c r="J761" s="0" t="n">
        <f aca="false">CONVERT(G761,"m^2","ha")</f>
        <v>0.1017188</v>
      </c>
      <c r="K761" s="0" t="b">
        <f aca="false">IF(J761&gt;(I761*2),((ROUNDDOWN(J761/I761,0))-1))</f>
        <v>0</v>
      </c>
    </row>
    <row r="762" customFormat="false" ht="12.75" hidden="false" customHeight="false" outlineLevel="0" collapsed="false">
      <c r="A762" s="5" t="n">
        <v>1173</v>
      </c>
      <c r="B762" s="6" t="s">
        <v>2311</v>
      </c>
      <c r="C762" s="6" t="s">
        <v>12</v>
      </c>
      <c r="D762" s="6" t="s">
        <v>2312</v>
      </c>
      <c r="E762" s="6" t="s">
        <v>14</v>
      </c>
      <c r="F762" s="6" t="n">
        <v>1048.836452755</v>
      </c>
      <c r="G762" s="6" t="n">
        <v>1048.836</v>
      </c>
      <c r="H762" s="6" t="s">
        <v>792</v>
      </c>
      <c r="I762" s="0" t="n">
        <v>0.4</v>
      </c>
      <c r="J762" s="0" t="n">
        <f aca="false">CONVERT(G762,"m^2","ha")</f>
        <v>0.1048836</v>
      </c>
      <c r="K762" s="0" t="b">
        <f aca="false">IF(J762&gt;(I762*2),((ROUNDDOWN(J762/I762,0))-1))</f>
        <v>0</v>
      </c>
    </row>
    <row r="763" customFormat="false" ht="12.75" hidden="false" customHeight="false" outlineLevel="0" collapsed="false">
      <c r="A763" s="5" t="n">
        <v>1174</v>
      </c>
      <c r="B763" s="6" t="s">
        <v>2313</v>
      </c>
      <c r="C763" s="6" t="s">
        <v>12</v>
      </c>
      <c r="D763" s="6" t="s">
        <v>2314</v>
      </c>
      <c r="E763" s="6" t="s">
        <v>14</v>
      </c>
      <c r="F763" s="6" t="n">
        <v>1021.22836162</v>
      </c>
      <c r="G763" s="6" t="n">
        <v>1021.228</v>
      </c>
      <c r="H763" s="6" t="s">
        <v>792</v>
      </c>
      <c r="I763" s="0" t="n">
        <v>0.4</v>
      </c>
      <c r="J763" s="0" t="n">
        <f aca="false">CONVERT(G763,"m^2","ha")</f>
        <v>0.1021228</v>
      </c>
      <c r="K763" s="0" t="b">
        <f aca="false">IF(J763&gt;(I763*2),((ROUNDDOWN(J763/I763,0))-1))</f>
        <v>0</v>
      </c>
    </row>
    <row r="764" customFormat="false" ht="12.75" hidden="false" customHeight="false" outlineLevel="0" collapsed="false">
      <c r="A764" s="5" t="n">
        <v>1175</v>
      </c>
      <c r="B764" s="6" t="s">
        <v>2315</v>
      </c>
      <c r="C764" s="6" t="s">
        <v>12</v>
      </c>
      <c r="D764" s="6" t="s">
        <v>2316</v>
      </c>
      <c r="E764" s="6" t="s">
        <v>14</v>
      </c>
      <c r="F764" s="6" t="n">
        <v>870.713175335</v>
      </c>
      <c r="G764" s="6" t="n">
        <v>870.713</v>
      </c>
      <c r="H764" s="6" t="s">
        <v>792</v>
      </c>
      <c r="I764" s="0" t="n">
        <v>0.4</v>
      </c>
      <c r="J764" s="0" t="n">
        <f aca="false">CONVERT(G764,"m^2","ha")</f>
        <v>0.0870713</v>
      </c>
      <c r="K764" s="0" t="b">
        <f aca="false">IF(J764&gt;(I764*2),((ROUNDDOWN(J764/I764,0))-1))</f>
        <v>0</v>
      </c>
    </row>
    <row r="765" customFormat="false" ht="12.75" hidden="false" customHeight="false" outlineLevel="0" collapsed="false">
      <c r="A765" s="5" t="n">
        <v>1176</v>
      </c>
      <c r="B765" s="6" t="s">
        <v>2317</v>
      </c>
      <c r="C765" s="6" t="s">
        <v>12</v>
      </c>
      <c r="D765" s="6" t="s">
        <v>2318</v>
      </c>
      <c r="E765" s="6" t="s">
        <v>14</v>
      </c>
      <c r="F765" s="6" t="n">
        <v>6145.719665405</v>
      </c>
      <c r="G765" s="6" t="n">
        <v>6145.856</v>
      </c>
      <c r="H765" s="6" t="s">
        <v>792</v>
      </c>
      <c r="I765" s="0" t="n">
        <v>0.4</v>
      </c>
      <c r="J765" s="0" t="n">
        <f aca="false">CONVERT(G765,"m^2","ha")</f>
        <v>0.6145856</v>
      </c>
      <c r="K765" s="0" t="b">
        <f aca="false">IF(J765&gt;(I765*2),((ROUNDDOWN(J765/I765,0))-1))</f>
        <v>0</v>
      </c>
    </row>
    <row r="766" customFormat="false" ht="12.75" hidden="false" customHeight="false" outlineLevel="0" collapsed="false">
      <c r="A766" s="5" t="n">
        <v>1177</v>
      </c>
      <c r="B766" s="6" t="s">
        <v>2319</v>
      </c>
      <c r="C766" s="6" t="s">
        <v>12</v>
      </c>
      <c r="D766" s="6" t="s">
        <v>2320</v>
      </c>
      <c r="E766" s="6" t="s">
        <v>14</v>
      </c>
      <c r="F766" s="6" t="n">
        <v>1373.806986865</v>
      </c>
      <c r="G766" s="6" t="n">
        <v>1373.966</v>
      </c>
      <c r="H766" s="6" t="s">
        <v>792</v>
      </c>
      <c r="I766" s="0" t="n">
        <v>0.4</v>
      </c>
      <c r="J766" s="0" t="n">
        <f aca="false">CONVERT(G766,"m^2","ha")</f>
        <v>0.1373966</v>
      </c>
      <c r="K766" s="0" t="b">
        <f aca="false">IF(J766&gt;(I766*2),((ROUNDDOWN(J766/I766,0))-1))</f>
        <v>0</v>
      </c>
    </row>
    <row r="767" customFormat="false" ht="12.75" hidden="false" customHeight="false" outlineLevel="0" collapsed="false">
      <c r="A767" s="5" t="n">
        <v>1178</v>
      </c>
      <c r="B767" s="6" t="s">
        <v>2321</v>
      </c>
      <c r="C767" s="6" t="s">
        <v>12</v>
      </c>
      <c r="D767" s="6" t="s">
        <v>2322</v>
      </c>
      <c r="E767" s="6" t="s">
        <v>14</v>
      </c>
      <c r="F767" s="6" t="n">
        <v>129.530291155</v>
      </c>
      <c r="G767" s="6" t="n">
        <v>129.465</v>
      </c>
      <c r="H767" s="6" t="s">
        <v>792</v>
      </c>
      <c r="I767" s="0" t="n">
        <v>0.4</v>
      </c>
      <c r="J767" s="0" t="n">
        <f aca="false">CONVERT(G767,"m^2","ha")</f>
        <v>0.0129465</v>
      </c>
      <c r="K767" s="0" t="b">
        <f aca="false">IF(J767&gt;(I767*2),((ROUNDDOWN(J767/I767,0))-1))</f>
        <v>0</v>
      </c>
    </row>
    <row r="768" customFormat="false" ht="12.75" hidden="false" customHeight="false" outlineLevel="0" collapsed="false">
      <c r="A768" s="5" t="n">
        <v>1179</v>
      </c>
      <c r="B768" s="6" t="s">
        <v>2323</v>
      </c>
      <c r="C768" s="6" t="s">
        <v>12</v>
      </c>
      <c r="D768" s="6" t="s">
        <v>2324</v>
      </c>
      <c r="E768" s="6" t="s">
        <v>14</v>
      </c>
      <c r="F768" s="6" t="n">
        <v>779.571927445</v>
      </c>
      <c r="G768" s="6" t="n">
        <v>779.309</v>
      </c>
      <c r="H768" s="6" t="s">
        <v>792</v>
      </c>
      <c r="I768" s="0" t="n">
        <v>0.4</v>
      </c>
      <c r="J768" s="0" t="n">
        <f aca="false">CONVERT(G768,"m^2","ha")</f>
        <v>0.0779309</v>
      </c>
      <c r="K768" s="0" t="b">
        <f aca="false">IF(J768&gt;(I768*2),((ROUNDDOWN(J768/I768,0))-1))</f>
        <v>0</v>
      </c>
    </row>
    <row r="769" customFormat="false" ht="12.75" hidden="false" customHeight="false" outlineLevel="0" collapsed="false">
      <c r="A769" s="5" t="n">
        <v>1180</v>
      </c>
      <c r="B769" s="6" t="s">
        <v>2325</v>
      </c>
      <c r="C769" s="6" t="s">
        <v>12</v>
      </c>
      <c r="D769" s="6" t="s">
        <v>2326</v>
      </c>
      <c r="E769" s="6" t="s">
        <v>14</v>
      </c>
      <c r="F769" s="6" t="n">
        <v>917.018855565</v>
      </c>
      <c r="G769" s="6" t="n">
        <v>917.019</v>
      </c>
      <c r="H769" s="6" t="s">
        <v>792</v>
      </c>
      <c r="I769" s="0" t="n">
        <v>0.4</v>
      </c>
      <c r="J769" s="0" t="n">
        <f aca="false">CONVERT(G769,"m^2","ha")</f>
        <v>0.0917019</v>
      </c>
      <c r="K769" s="0" t="b">
        <f aca="false">IF(J769&gt;(I769*2),((ROUNDDOWN(J769/I769,0))-1))</f>
        <v>0</v>
      </c>
    </row>
    <row r="770" customFormat="false" ht="12.75" hidden="false" customHeight="false" outlineLevel="0" collapsed="false">
      <c r="A770" s="5" t="n">
        <v>1181</v>
      </c>
      <c r="B770" s="6" t="s">
        <v>2327</v>
      </c>
      <c r="C770" s="6" t="s">
        <v>12</v>
      </c>
      <c r="D770" s="6" t="s">
        <v>2328</v>
      </c>
      <c r="E770" s="6" t="s">
        <v>14</v>
      </c>
      <c r="F770" s="6" t="n">
        <v>704.45419724</v>
      </c>
      <c r="G770" s="6" t="n">
        <v>704.454</v>
      </c>
      <c r="H770" s="6" t="s">
        <v>792</v>
      </c>
      <c r="I770" s="0" t="n">
        <v>0.4</v>
      </c>
      <c r="J770" s="0" t="n">
        <f aca="false">CONVERT(G770,"m^2","ha")</f>
        <v>0.0704454</v>
      </c>
      <c r="K770" s="0" t="b">
        <f aca="false">IF(J770&gt;(I770*2),((ROUNDDOWN(J770/I770,0))-1))</f>
        <v>0</v>
      </c>
    </row>
    <row r="771" customFormat="false" ht="12.75" hidden="false" customHeight="false" outlineLevel="0" collapsed="false">
      <c r="A771" s="5" t="n">
        <v>1182</v>
      </c>
      <c r="B771" s="6" t="s">
        <v>2329</v>
      </c>
      <c r="C771" s="6" t="s">
        <v>12</v>
      </c>
      <c r="D771" s="6" t="s">
        <v>2330</v>
      </c>
      <c r="E771" s="6" t="s">
        <v>14</v>
      </c>
      <c r="F771" s="6" t="n">
        <v>709.604683515</v>
      </c>
      <c r="G771" s="6" t="n">
        <v>709.605</v>
      </c>
      <c r="H771" s="6" t="s">
        <v>792</v>
      </c>
      <c r="I771" s="0" t="n">
        <v>0.4</v>
      </c>
      <c r="J771" s="0" t="n">
        <f aca="false">CONVERT(G771,"m^2","ha")</f>
        <v>0.0709605</v>
      </c>
      <c r="K771" s="0" t="b">
        <f aca="false">IF(J771&gt;(I771*2),((ROUNDDOWN(J771/I771,0))-1))</f>
        <v>0</v>
      </c>
    </row>
    <row r="772" customFormat="false" ht="12.75" hidden="false" customHeight="false" outlineLevel="0" collapsed="false">
      <c r="A772" s="5" t="n">
        <v>1183</v>
      </c>
      <c r="B772" s="6" t="s">
        <v>2331</v>
      </c>
      <c r="C772" s="6" t="s">
        <v>12</v>
      </c>
      <c r="D772" s="6" t="s">
        <v>2332</v>
      </c>
      <c r="E772" s="6" t="s">
        <v>14</v>
      </c>
      <c r="F772" s="6" t="n">
        <v>798.60948057</v>
      </c>
      <c r="G772" s="6" t="n">
        <v>798.609</v>
      </c>
      <c r="H772" s="6" t="s">
        <v>792</v>
      </c>
      <c r="I772" s="0" t="n">
        <v>0.4</v>
      </c>
      <c r="J772" s="0" t="n">
        <f aca="false">CONVERT(G772,"m^2","ha")</f>
        <v>0.0798609</v>
      </c>
      <c r="K772" s="0" t="b">
        <f aca="false">IF(J772&gt;(I772*2),((ROUNDDOWN(J772/I772,0))-1))</f>
        <v>0</v>
      </c>
    </row>
    <row r="773" customFormat="false" ht="12.75" hidden="false" customHeight="false" outlineLevel="0" collapsed="false">
      <c r="A773" s="5" t="n">
        <v>1184</v>
      </c>
      <c r="B773" s="6" t="s">
        <v>2333</v>
      </c>
      <c r="C773" s="6" t="s">
        <v>12</v>
      </c>
      <c r="D773" s="6" t="s">
        <v>2334</v>
      </c>
      <c r="E773" s="6" t="s">
        <v>14</v>
      </c>
      <c r="F773" s="6" t="n">
        <v>848.24147961</v>
      </c>
      <c r="G773" s="6" t="n">
        <v>847.665</v>
      </c>
      <c r="H773" s="6" t="s">
        <v>792</v>
      </c>
      <c r="I773" s="0" t="n">
        <v>0.4</v>
      </c>
      <c r="J773" s="0" t="n">
        <f aca="false">CONVERT(G773,"m^2","ha")</f>
        <v>0.0847665</v>
      </c>
      <c r="K773" s="0" t="b">
        <f aca="false">IF(J773&gt;(I773*2),((ROUNDDOWN(J773/I773,0))-1))</f>
        <v>0</v>
      </c>
    </row>
    <row r="774" customFormat="false" ht="12.75" hidden="false" customHeight="false" outlineLevel="0" collapsed="false">
      <c r="A774" s="5" t="n">
        <v>1185</v>
      </c>
      <c r="B774" s="6" t="s">
        <v>2335</v>
      </c>
      <c r="C774" s="6" t="s">
        <v>12</v>
      </c>
      <c r="D774" s="6" t="s">
        <v>2336</v>
      </c>
      <c r="E774" s="6" t="s">
        <v>14</v>
      </c>
      <c r="F774" s="6" t="n">
        <v>800.587546545</v>
      </c>
      <c r="G774" s="6" t="n">
        <v>800.588</v>
      </c>
      <c r="H774" s="6" t="s">
        <v>792</v>
      </c>
      <c r="I774" s="0" t="n">
        <v>0.4</v>
      </c>
      <c r="J774" s="0" t="n">
        <f aca="false">CONVERT(G774,"m^2","ha")</f>
        <v>0.0800588</v>
      </c>
      <c r="K774" s="0" t="b">
        <f aca="false">IF(J774&gt;(I774*2),((ROUNDDOWN(J774/I774,0))-1))</f>
        <v>0</v>
      </c>
    </row>
    <row r="775" customFormat="false" ht="12.75" hidden="false" customHeight="false" outlineLevel="0" collapsed="false">
      <c r="A775" s="5" t="n">
        <v>1186</v>
      </c>
      <c r="B775" s="6" t="s">
        <v>2337</v>
      </c>
      <c r="C775" s="6" t="s">
        <v>12</v>
      </c>
      <c r="D775" s="6" t="s">
        <v>2338</v>
      </c>
      <c r="E775" s="6" t="s">
        <v>14</v>
      </c>
      <c r="F775" s="6" t="n">
        <v>757.10264665</v>
      </c>
      <c r="G775" s="6" t="n">
        <v>757.609</v>
      </c>
      <c r="H775" s="6" t="s">
        <v>792</v>
      </c>
      <c r="I775" s="0" t="n">
        <v>0.4</v>
      </c>
      <c r="J775" s="0" t="n">
        <f aca="false">CONVERT(G775,"m^2","ha")</f>
        <v>0.0757609</v>
      </c>
      <c r="K775" s="0" t="b">
        <f aca="false">IF(J775&gt;(I775*2),((ROUNDDOWN(J775/I775,0))-1))</f>
        <v>0</v>
      </c>
    </row>
    <row r="776" customFormat="false" ht="12.75" hidden="false" customHeight="false" outlineLevel="0" collapsed="false">
      <c r="A776" s="5" t="n">
        <v>1187</v>
      </c>
      <c r="B776" s="6" t="s">
        <v>2339</v>
      </c>
      <c r="C776" s="6" t="s">
        <v>12</v>
      </c>
      <c r="D776" s="6" t="s">
        <v>2340</v>
      </c>
      <c r="E776" s="6" t="s">
        <v>14</v>
      </c>
      <c r="F776" s="6" t="n">
        <v>752.50205343</v>
      </c>
      <c r="G776" s="6" t="n">
        <v>753.046</v>
      </c>
      <c r="H776" s="6" t="s">
        <v>792</v>
      </c>
      <c r="I776" s="0" t="n">
        <v>0.4</v>
      </c>
      <c r="J776" s="0" t="n">
        <f aca="false">CONVERT(G776,"m^2","ha")</f>
        <v>0.0753046</v>
      </c>
      <c r="K776" s="0" t="b">
        <f aca="false">IF(J776&gt;(I776*2),((ROUNDDOWN(J776/I776,0))-1))</f>
        <v>0</v>
      </c>
    </row>
    <row r="777" customFormat="false" ht="12.75" hidden="false" customHeight="false" outlineLevel="0" collapsed="false">
      <c r="A777" s="5" t="n">
        <v>1188</v>
      </c>
      <c r="B777" s="6" t="s">
        <v>2341</v>
      </c>
      <c r="C777" s="6" t="s">
        <v>12</v>
      </c>
      <c r="D777" s="6" t="s">
        <v>2342</v>
      </c>
      <c r="E777" s="6" t="s">
        <v>14</v>
      </c>
      <c r="F777" s="6" t="n">
        <v>862.45111335</v>
      </c>
      <c r="G777" s="6" t="n">
        <v>862.451</v>
      </c>
      <c r="H777" s="6" t="s">
        <v>792</v>
      </c>
      <c r="I777" s="0" t="n">
        <v>0.4</v>
      </c>
      <c r="J777" s="0" t="n">
        <f aca="false">CONVERT(G777,"m^2","ha")</f>
        <v>0.0862451</v>
      </c>
      <c r="K777" s="0" t="b">
        <f aca="false">IF(J777&gt;(I777*2),((ROUNDDOWN(J777/I777,0))-1))</f>
        <v>0</v>
      </c>
    </row>
    <row r="778" customFormat="false" ht="12.75" hidden="false" customHeight="false" outlineLevel="0" collapsed="false">
      <c r="A778" s="5" t="n">
        <v>1189</v>
      </c>
      <c r="B778" s="6" t="s">
        <v>2343</v>
      </c>
      <c r="C778" s="6" t="s">
        <v>12</v>
      </c>
      <c r="D778" s="6" t="s">
        <v>2344</v>
      </c>
      <c r="E778" s="6" t="s">
        <v>14</v>
      </c>
      <c r="F778" s="6" t="n">
        <v>2039.99076221</v>
      </c>
      <c r="G778" s="6" t="n">
        <v>2039.123</v>
      </c>
      <c r="H778" s="6" t="s">
        <v>792</v>
      </c>
      <c r="I778" s="0" t="n">
        <v>0.4</v>
      </c>
      <c r="J778" s="0" t="n">
        <f aca="false">CONVERT(G778,"m^2","ha")</f>
        <v>0.2039123</v>
      </c>
      <c r="K778" s="0" t="b">
        <f aca="false">IF(J778&gt;(I778*2),((ROUNDDOWN(J778/I778,0))-1))</f>
        <v>0</v>
      </c>
    </row>
    <row r="779" customFormat="false" ht="12.75" hidden="false" customHeight="false" outlineLevel="0" collapsed="false">
      <c r="A779" s="5" t="n">
        <v>1190</v>
      </c>
      <c r="B779" s="6" t="s">
        <v>2345</v>
      </c>
      <c r="C779" s="6" t="s">
        <v>12</v>
      </c>
      <c r="D779" s="6" t="s">
        <v>2346</v>
      </c>
      <c r="E779" s="6" t="s">
        <v>14</v>
      </c>
      <c r="F779" s="6" t="n">
        <v>716.7355111</v>
      </c>
      <c r="G779" s="6" t="n">
        <v>716.736</v>
      </c>
      <c r="H779" s="6" t="s">
        <v>792</v>
      </c>
      <c r="I779" s="0" t="n">
        <v>0.4</v>
      </c>
      <c r="J779" s="0" t="n">
        <f aca="false">CONVERT(G779,"m^2","ha")</f>
        <v>0.0716736</v>
      </c>
      <c r="K779" s="0" t="b">
        <f aca="false">IF(J779&gt;(I779*2),((ROUNDDOWN(J779/I779,0))-1))</f>
        <v>0</v>
      </c>
    </row>
    <row r="780" customFormat="false" ht="12.75" hidden="false" customHeight="false" outlineLevel="0" collapsed="false">
      <c r="A780" s="5" t="n">
        <v>1191</v>
      </c>
      <c r="B780" s="6" t="s">
        <v>2347</v>
      </c>
      <c r="C780" s="6" t="s">
        <v>12</v>
      </c>
      <c r="D780" s="6" t="s">
        <v>2348</v>
      </c>
      <c r="E780" s="6" t="s">
        <v>14</v>
      </c>
      <c r="F780" s="6" t="n">
        <v>753.75006725</v>
      </c>
      <c r="G780" s="6" t="n">
        <v>753.283</v>
      </c>
      <c r="H780" s="6" t="s">
        <v>792</v>
      </c>
      <c r="I780" s="0" t="n">
        <v>0.4</v>
      </c>
      <c r="J780" s="0" t="n">
        <f aca="false">CONVERT(G780,"m^2","ha")</f>
        <v>0.0753283</v>
      </c>
      <c r="K780" s="0" t="b">
        <f aca="false">IF(J780&gt;(I780*2),((ROUNDDOWN(J780/I780,0))-1))</f>
        <v>0</v>
      </c>
    </row>
    <row r="781" customFormat="false" ht="12.75" hidden="false" customHeight="false" outlineLevel="0" collapsed="false">
      <c r="A781" s="5" t="n">
        <v>1192</v>
      </c>
      <c r="B781" s="6" t="s">
        <v>2349</v>
      </c>
      <c r="C781" s="6" t="s">
        <v>12</v>
      </c>
      <c r="D781" s="6" t="s">
        <v>2350</v>
      </c>
      <c r="E781" s="6" t="s">
        <v>14</v>
      </c>
      <c r="F781" s="6" t="n">
        <v>878.655630685</v>
      </c>
      <c r="G781" s="6" t="n">
        <v>878.656</v>
      </c>
      <c r="H781" s="6" t="s">
        <v>792</v>
      </c>
      <c r="I781" s="0" t="n">
        <v>0.4</v>
      </c>
      <c r="J781" s="0" t="n">
        <f aca="false">CONVERT(G781,"m^2","ha")</f>
        <v>0.0878656</v>
      </c>
      <c r="K781" s="0" t="b">
        <f aca="false">IF(J781&gt;(I781*2),((ROUNDDOWN(J781/I781,0))-1))</f>
        <v>0</v>
      </c>
    </row>
    <row r="782" customFormat="false" ht="12.75" hidden="false" customHeight="false" outlineLevel="0" collapsed="false">
      <c r="A782" s="5" t="n">
        <v>1193</v>
      </c>
      <c r="B782" s="6" t="s">
        <v>2351</v>
      </c>
      <c r="C782" s="6" t="s">
        <v>12</v>
      </c>
      <c r="D782" s="6" t="s">
        <v>2352</v>
      </c>
      <c r="E782" s="6" t="s">
        <v>14</v>
      </c>
      <c r="F782" s="6" t="n">
        <v>700.17071749</v>
      </c>
      <c r="G782" s="6" t="n">
        <v>700.171</v>
      </c>
      <c r="H782" s="6" t="s">
        <v>792</v>
      </c>
      <c r="I782" s="0" t="n">
        <v>0.4</v>
      </c>
      <c r="J782" s="0" t="n">
        <f aca="false">CONVERT(G782,"m^2","ha")</f>
        <v>0.0700171</v>
      </c>
      <c r="K782" s="0" t="b">
        <f aca="false">IF(J782&gt;(I782*2),((ROUNDDOWN(J782/I782,0))-1))</f>
        <v>0</v>
      </c>
    </row>
    <row r="783" customFormat="false" ht="12.75" hidden="false" customHeight="false" outlineLevel="0" collapsed="false">
      <c r="A783" s="5" t="n">
        <v>1194</v>
      </c>
      <c r="B783" s="6" t="s">
        <v>2353</v>
      </c>
      <c r="C783" s="6" t="s">
        <v>12</v>
      </c>
      <c r="D783" s="6" t="s">
        <v>2354</v>
      </c>
      <c r="E783" s="6" t="s">
        <v>14</v>
      </c>
      <c r="F783" s="6" t="n">
        <v>2270.01498277</v>
      </c>
      <c r="G783" s="6" t="n">
        <v>2269.809</v>
      </c>
      <c r="H783" s="6" t="s">
        <v>792</v>
      </c>
      <c r="I783" s="0" t="n">
        <v>0.4</v>
      </c>
      <c r="J783" s="0" t="n">
        <f aca="false">CONVERT(G783,"m^2","ha")</f>
        <v>0.2269809</v>
      </c>
      <c r="K783" s="0" t="b">
        <f aca="false">IF(J783&gt;(I783*2),((ROUNDDOWN(J783/I783,0))-1))</f>
        <v>0</v>
      </c>
    </row>
    <row r="784" customFormat="false" ht="12.75" hidden="false" customHeight="false" outlineLevel="0" collapsed="false">
      <c r="A784" s="5" t="n">
        <v>1195</v>
      </c>
      <c r="B784" s="6" t="s">
        <v>2355</v>
      </c>
      <c r="C784" s="6" t="s">
        <v>12</v>
      </c>
      <c r="D784" s="6" t="s">
        <v>2356</v>
      </c>
      <c r="E784" s="6" t="s">
        <v>14</v>
      </c>
      <c r="F784" s="6" t="n">
        <v>1057.585337815</v>
      </c>
      <c r="G784" s="6" t="n">
        <v>1057.585</v>
      </c>
      <c r="H784" s="6" t="s">
        <v>792</v>
      </c>
      <c r="I784" s="0" t="n">
        <v>0.4</v>
      </c>
      <c r="J784" s="0" t="n">
        <f aca="false">CONVERT(G784,"m^2","ha")</f>
        <v>0.1057585</v>
      </c>
      <c r="K784" s="0" t="b">
        <f aca="false">IF(J784&gt;(I784*2),((ROUNDDOWN(J784/I784,0))-1))</f>
        <v>0</v>
      </c>
    </row>
    <row r="785" customFormat="false" ht="12.75" hidden="false" customHeight="false" outlineLevel="0" collapsed="false">
      <c r="A785" s="5" t="n">
        <v>1196</v>
      </c>
      <c r="B785" s="6" t="s">
        <v>2357</v>
      </c>
      <c r="C785" s="6" t="s">
        <v>12</v>
      </c>
      <c r="D785" s="6" t="s">
        <v>2358</v>
      </c>
      <c r="E785" s="6" t="s">
        <v>14</v>
      </c>
      <c r="F785" s="6" t="n">
        <v>887.92265958</v>
      </c>
      <c r="G785" s="6" t="n">
        <v>887.923</v>
      </c>
      <c r="H785" s="6" t="s">
        <v>792</v>
      </c>
      <c r="I785" s="0" t="n">
        <v>0.4</v>
      </c>
      <c r="J785" s="0" t="n">
        <f aca="false">CONVERT(G785,"m^2","ha")</f>
        <v>0.0887923</v>
      </c>
      <c r="K785" s="0" t="b">
        <f aca="false">IF(J785&gt;(I785*2),((ROUNDDOWN(J785/I785,0))-1))</f>
        <v>0</v>
      </c>
    </row>
    <row r="786" customFormat="false" ht="12.75" hidden="false" customHeight="false" outlineLevel="0" collapsed="false">
      <c r="A786" s="5" t="n">
        <v>1197</v>
      </c>
      <c r="B786" s="6" t="s">
        <v>2359</v>
      </c>
      <c r="C786" s="6" t="s">
        <v>12</v>
      </c>
      <c r="D786" s="6" t="s">
        <v>2360</v>
      </c>
      <c r="E786" s="6" t="s">
        <v>14</v>
      </c>
      <c r="F786" s="6" t="n">
        <v>774.90920465</v>
      </c>
      <c r="G786" s="6" t="n">
        <v>774.909</v>
      </c>
      <c r="H786" s="6" t="s">
        <v>792</v>
      </c>
      <c r="I786" s="0" t="n">
        <v>0.4</v>
      </c>
      <c r="J786" s="0" t="n">
        <f aca="false">CONVERT(G786,"m^2","ha")</f>
        <v>0.0774909</v>
      </c>
      <c r="K786" s="0" t="b">
        <f aca="false">IF(J786&gt;(I786*2),((ROUNDDOWN(J786/I786,0))-1))</f>
        <v>0</v>
      </c>
    </row>
    <row r="787" customFormat="false" ht="12.75" hidden="false" customHeight="false" outlineLevel="0" collapsed="false">
      <c r="A787" s="5" t="n">
        <v>1198</v>
      </c>
      <c r="B787" s="6" t="s">
        <v>2361</v>
      </c>
      <c r="C787" s="6" t="s">
        <v>12</v>
      </c>
      <c r="D787" s="6" t="s">
        <v>2362</v>
      </c>
      <c r="E787" s="6" t="s">
        <v>14</v>
      </c>
      <c r="F787" s="6" t="n">
        <v>1005.53041017</v>
      </c>
      <c r="G787" s="6" t="n">
        <v>1005.53</v>
      </c>
      <c r="H787" s="6" t="s">
        <v>792</v>
      </c>
      <c r="I787" s="0" t="n">
        <v>0.4</v>
      </c>
      <c r="J787" s="0" t="n">
        <f aca="false">CONVERT(G787,"m^2","ha")</f>
        <v>0.100553</v>
      </c>
      <c r="K787" s="0" t="b">
        <f aca="false">IF(J787&gt;(I787*2),((ROUNDDOWN(J787/I787,0))-1))</f>
        <v>0</v>
      </c>
    </row>
    <row r="788" customFormat="false" ht="12.75" hidden="false" customHeight="false" outlineLevel="0" collapsed="false">
      <c r="A788" s="5" t="n">
        <v>1199</v>
      </c>
      <c r="B788" s="6" t="s">
        <v>2363</v>
      </c>
      <c r="C788" s="6" t="s">
        <v>12</v>
      </c>
      <c r="D788" s="6" t="s">
        <v>2364</v>
      </c>
      <c r="E788" s="6" t="s">
        <v>14</v>
      </c>
      <c r="F788" s="6" t="n">
        <v>712.180033065</v>
      </c>
      <c r="G788" s="6" t="n">
        <v>712.18</v>
      </c>
      <c r="H788" s="6" t="s">
        <v>792</v>
      </c>
      <c r="I788" s="0" t="n">
        <v>0.4</v>
      </c>
      <c r="J788" s="0" t="n">
        <f aca="false">CONVERT(G788,"m^2","ha")</f>
        <v>0.071218</v>
      </c>
      <c r="K788" s="0" t="b">
        <f aca="false">IF(J788&gt;(I788*2),((ROUNDDOWN(J788/I788,0))-1))</f>
        <v>0</v>
      </c>
    </row>
    <row r="789" customFormat="false" ht="12.75" hidden="false" customHeight="false" outlineLevel="0" collapsed="false">
      <c r="A789" s="5" t="n">
        <v>1201</v>
      </c>
      <c r="B789" s="6" t="s">
        <v>2365</v>
      </c>
      <c r="C789" s="6" t="s">
        <v>12</v>
      </c>
      <c r="D789" s="6" t="s">
        <v>2366</v>
      </c>
      <c r="E789" s="6" t="s">
        <v>14</v>
      </c>
      <c r="F789" s="6" t="n">
        <v>807.42867908</v>
      </c>
      <c r="G789" s="6" t="n">
        <v>807.429</v>
      </c>
      <c r="H789" s="6" t="s">
        <v>792</v>
      </c>
      <c r="I789" s="0" t="n">
        <v>0.4</v>
      </c>
      <c r="J789" s="0" t="n">
        <f aca="false">CONVERT(G789,"m^2","ha")</f>
        <v>0.0807429</v>
      </c>
      <c r="K789" s="0" t="b">
        <f aca="false">IF(J789&gt;(I789*2),((ROUNDDOWN(J789/I789,0))-1))</f>
        <v>0</v>
      </c>
    </row>
    <row r="790" customFormat="false" ht="12.75" hidden="false" customHeight="false" outlineLevel="0" collapsed="false">
      <c r="A790" s="5" t="n">
        <v>1202</v>
      </c>
      <c r="B790" s="6" t="s">
        <v>2367</v>
      </c>
      <c r="C790" s="6" t="s">
        <v>12</v>
      </c>
      <c r="D790" s="6" t="s">
        <v>2368</v>
      </c>
      <c r="E790" s="6" t="s">
        <v>14</v>
      </c>
      <c r="F790" s="6" t="n">
        <v>730.67976205</v>
      </c>
      <c r="G790" s="6" t="n">
        <v>730.68</v>
      </c>
      <c r="H790" s="6" t="s">
        <v>792</v>
      </c>
      <c r="I790" s="0" t="n">
        <v>0.4</v>
      </c>
      <c r="J790" s="0" t="n">
        <f aca="false">CONVERT(G790,"m^2","ha")</f>
        <v>0.073068</v>
      </c>
      <c r="K790" s="0" t="b">
        <f aca="false">IF(J790&gt;(I790*2),((ROUNDDOWN(J790/I790,0))-1))</f>
        <v>0</v>
      </c>
    </row>
    <row r="791" customFormat="false" ht="12.75" hidden="false" customHeight="false" outlineLevel="0" collapsed="false">
      <c r="A791" s="5" t="n">
        <v>1203</v>
      </c>
      <c r="B791" s="6" t="s">
        <v>2369</v>
      </c>
      <c r="C791" s="6" t="s">
        <v>12</v>
      </c>
      <c r="D791" s="6" t="s">
        <v>2370</v>
      </c>
      <c r="E791" s="6" t="s">
        <v>14</v>
      </c>
      <c r="F791" s="6" t="n">
        <v>747.12472266</v>
      </c>
      <c r="G791" s="6" t="n">
        <v>747.125</v>
      </c>
      <c r="H791" s="6" t="s">
        <v>792</v>
      </c>
      <c r="I791" s="0" t="n">
        <v>0.4</v>
      </c>
      <c r="J791" s="0" t="n">
        <f aca="false">CONVERT(G791,"m^2","ha")</f>
        <v>0.0747125</v>
      </c>
      <c r="K791" s="0" t="b">
        <f aca="false">IF(J791&gt;(I791*2),((ROUNDDOWN(J791/I791,0))-1))</f>
        <v>0</v>
      </c>
    </row>
    <row r="792" customFormat="false" ht="12.75" hidden="false" customHeight="false" outlineLevel="0" collapsed="false">
      <c r="A792" s="5" t="n">
        <v>1204</v>
      </c>
      <c r="B792" s="6" t="s">
        <v>2371</v>
      </c>
      <c r="C792" s="6" t="s">
        <v>12</v>
      </c>
      <c r="D792" s="6" t="s">
        <v>2372</v>
      </c>
      <c r="E792" s="6" t="s">
        <v>14</v>
      </c>
      <c r="F792" s="6" t="n">
        <v>1845.58844094</v>
      </c>
      <c r="G792" s="6" t="n">
        <v>1844.161</v>
      </c>
      <c r="H792" s="6" t="s">
        <v>792</v>
      </c>
      <c r="I792" s="0" t="n">
        <v>0.4</v>
      </c>
      <c r="J792" s="0" t="n">
        <f aca="false">CONVERT(G792,"m^2","ha")</f>
        <v>0.1844161</v>
      </c>
      <c r="K792" s="0" t="b">
        <f aca="false">IF(J792&gt;(I792*2),((ROUNDDOWN(J792/I792,0))-1))</f>
        <v>0</v>
      </c>
    </row>
    <row r="793" customFormat="false" ht="12.75" hidden="false" customHeight="false" outlineLevel="0" collapsed="false">
      <c r="A793" s="5" t="n">
        <v>1205</v>
      </c>
      <c r="B793" s="6" t="s">
        <v>2373</v>
      </c>
      <c r="C793" s="6" t="s">
        <v>12</v>
      </c>
      <c r="D793" s="6" t="s">
        <v>2374</v>
      </c>
      <c r="E793" s="6" t="s">
        <v>14</v>
      </c>
      <c r="F793" s="6" t="n">
        <v>796.39200556</v>
      </c>
      <c r="G793" s="6" t="n">
        <v>797.287</v>
      </c>
      <c r="H793" s="6" t="s">
        <v>792</v>
      </c>
      <c r="I793" s="0" t="n">
        <v>0.4</v>
      </c>
      <c r="J793" s="0" t="n">
        <f aca="false">CONVERT(G793,"m^2","ha")</f>
        <v>0.0797287</v>
      </c>
      <c r="K793" s="0" t="b">
        <f aca="false">IF(J793&gt;(I793*2),((ROUNDDOWN(J793/I793,0))-1))</f>
        <v>0</v>
      </c>
    </row>
    <row r="794" customFormat="false" ht="12.75" hidden="false" customHeight="false" outlineLevel="0" collapsed="false">
      <c r="A794" s="5" t="n">
        <v>1206</v>
      </c>
      <c r="B794" s="6" t="s">
        <v>2375</v>
      </c>
      <c r="C794" s="6" t="s">
        <v>12</v>
      </c>
      <c r="D794" s="6" t="s">
        <v>2376</v>
      </c>
      <c r="E794" s="6" t="s">
        <v>14</v>
      </c>
      <c r="F794" s="6" t="n">
        <v>890.90251305</v>
      </c>
      <c r="G794" s="6" t="n">
        <v>891.111</v>
      </c>
      <c r="H794" s="6" t="s">
        <v>792</v>
      </c>
      <c r="I794" s="0" t="n">
        <v>0.4</v>
      </c>
      <c r="J794" s="0" t="n">
        <f aca="false">CONVERT(G794,"m^2","ha")</f>
        <v>0.0891111</v>
      </c>
      <c r="K794" s="0" t="b">
        <f aca="false">IF(J794&gt;(I794*2),((ROUNDDOWN(J794/I794,0))-1))</f>
        <v>0</v>
      </c>
    </row>
    <row r="795" customFormat="false" ht="12.75" hidden="false" customHeight="false" outlineLevel="0" collapsed="false">
      <c r="A795" s="5" t="n">
        <v>1207</v>
      </c>
      <c r="B795" s="6" t="s">
        <v>2377</v>
      </c>
      <c r="C795" s="6" t="s">
        <v>12</v>
      </c>
      <c r="D795" s="6" t="s">
        <v>2378</v>
      </c>
      <c r="E795" s="6" t="s">
        <v>14</v>
      </c>
      <c r="F795" s="6" t="n">
        <v>702.68521562</v>
      </c>
      <c r="G795" s="6" t="n">
        <v>702.685</v>
      </c>
      <c r="H795" s="6" t="s">
        <v>792</v>
      </c>
      <c r="I795" s="0" t="n">
        <v>0.4</v>
      </c>
      <c r="J795" s="0" t="n">
        <f aca="false">CONVERT(G795,"m^2","ha")</f>
        <v>0.0702685</v>
      </c>
      <c r="K795" s="0" t="b">
        <f aca="false">IF(J795&gt;(I795*2),((ROUNDDOWN(J795/I795,0))-1))</f>
        <v>0</v>
      </c>
    </row>
    <row r="796" customFormat="false" ht="12.75" hidden="false" customHeight="false" outlineLevel="0" collapsed="false">
      <c r="A796" s="5" t="n">
        <v>1208</v>
      </c>
      <c r="B796" s="6" t="s">
        <v>2379</v>
      </c>
      <c r="C796" s="6" t="s">
        <v>12</v>
      </c>
      <c r="D796" s="6" t="s">
        <v>2380</v>
      </c>
      <c r="E796" s="6" t="s">
        <v>14</v>
      </c>
      <c r="F796" s="6" t="n">
        <v>1823.557542965</v>
      </c>
      <c r="G796" s="6" t="n">
        <v>1823.558</v>
      </c>
      <c r="H796" s="6" t="s">
        <v>792</v>
      </c>
      <c r="I796" s="0" t="n">
        <v>0.4</v>
      </c>
      <c r="J796" s="0" t="n">
        <f aca="false">CONVERT(G796,"m^2","ha")</f>
        <v>0.1823558</v>
      </c>
      <c r="K796" s="0" t="b">
        <f aca="false">IF(J796&gt;(I796*2),((ROUNDDOWN(J796/I796,0))-1))</f>
        <v>0</v>
      </c>
    </row>
    <row r="797" customFormat="false" ht="12.75" hidden="false" customHeight="false" outlineLevel="0" collapsed="false">
      <c r="A797" s="5" t="n">
        <v>1209</v>
      </c>
      <c r="B797" s="6" t="s">
        <v>2381</v>
      </c>
      <c r="C797" s="6" t="s">
        <v>12</v>
      </c>
      <c r="D797" s="6" t="s">
        <v>2382</v>
      </c>
      <c r="E797" s="6" t="s">
        <v>14</v>
      </c>
      <c r="F797" s="6" t="n">
        <v>2104.87511587</v>
      </c>
      <c r="G797" s="6" t="n">
        <v>2103.997</v>
      </c>
      <c r="H797" s="6" t="s">
        <v>792</v>
      </c>
      <c r="I797" s="0" t="n">
        <v>0.4</v>
      </c>
      <c r="J797" s="0" t="n">
        <f aca="false">CONVERT(G797,"m^2","ha")</f>
        <v>0.2103997</v>
      </c>
      <c r="K797" s="0" t="b">
        <f aca="false">IF(J797&gt;(I797*2),((ROUNDDOWN(J797/I797,0))-1))</f>
        <v>0</v>
      </c>
    </row>
    <row r="798" customFormat="false" ht="12.75" hidden="false" customHeight="false" outlineLevel="0" collapsed="false">
      <c r="A798" s="5" t="n">
        <v>1210</v>
      </c>
      <c r="B798" s="6" t="s">
        <v>2383</v>
      </c>
      <c r="C798" s="6" t="s">
        <v>12</v>
      </c>
      <c r="D798" s="6" t="s">
        <v>2384</v>
      </c>
      <c r="E798" s="6" t="s">
        <v>14</v>
      </c>
      <c r="F798" s="6" t="n">
        <v>1142.57037735</v>
      </c>
      <c r="G798" s="6" t="n">
        <v>1142.071</v>
      </c>
      <c r="H798" s="6" t="s">
        <v>792</v>
      </c>
      <c r="I798" s="0" t="n">
        <v>0.4</v>
      </c>
      <c r="J798" s="0" t="n">
        <f aca="false">CONVERT(G798,"m^2","ha")</f>
        <v>0.1142071</v>
      </c>
      <c r="K798" s="0" t="b">
        <f aca="false">IF(J798&gt;(I798*2),((ROUNDDOWN(J798/I798,0))-1))</f>
        <v>0</v>
      </c>
    </row>
    <row r="799" customFormat="false" ht="12.75" hidden="false" customHeight="false" outlineLevel="0" collapsed="false">
      <c r="A799" s="5" t="n">
        <v>1211</v>
      </c>
      <c r="B799" s="6" t="s">
        <v>2385</v>
      </c>
      <c r="C799" s="6" t="s">
        <v>12</v>
      </c>
      <c r="D799" s="6" t="s">
        <v>2386</v>
      </c>
      <c r="E799" s="6" t="s">
        <v>14</v>
      </c>
      <c r="F799" s="6" t="n">
        <v>772.62587828</v>
      </c>
      <c r="G799" s="6" t="n">
        <v>772.303</v>
      </c>
      <c r="H799" s="6" t="s">
        <v>792</v>
      </c>
      <c r="I799" s="0" t="n">
        <v>0.4</v>
      </c>
      <c r="J799" s="0" t="n">
        <f aca="false">CONVERT(G799,"m^2","ha")</f>
        <v>0.0772303</v>
      </c>
      <c r="K799" s="0" t="b">
        <f aca="false">IF(J799&gt;(I799*2),((ROUNDDOWN(J799/I799,0))-1))</f>
        <v>0</v>
      </c>
    </row>
    <row r="800" customFormat="false" ht="12.75" hidden="false" customHeight="false" outlineLevel="0" collapsed="false">
      <c r="A800" s="5" t="n">
        <v>1212</v>
      </c>
      <c r="B800" s="6" t="s">
        <v>2387</v>
      </c>
      <c r="C800" s="6" t="s">
        <v>12</v>
      </c>
      <c r="D800" s="6" t="s">
        <v>2388</v>
      </c>
      <c r="E800" s="6" t="s">
        <v>14</v>
      </c>
      <c r="F800" s="6" t="n">
        <v>1115.326808075</v>
      </c>
      <c r="G800" s="6" t="n">
        <v>1115.963</v>
      </c>
      <c r="H800" s="6" t="s">
        <v>792</v>
      </c>
      <c r="I800" s="0" t="n">
        <v>0.4</v>
      </c>
      <c r="J800" s="0" t="n">
        <f aca="false">CONVERT(G800,"m^2","ha")</f>
        <v>0.1115963</v>
      </c>
      <c r="K800" s="0" t="b">
        <f aca="false">IF(J800&gt;(I800*2),((ROUNDDOWN(J800/I800,0))-1))</f>
        <v>0</v>
      </c>
    </row>
    <row r="801" customFormat="false" ht="12.75" hidden="false" customHeight="false" outlineLevel="0" collapsed="false">
      <c r="A801" s="5" t="n">
        <v>1213</v>
      </c>
      <c r="B801" s="6" t="s">
        <v>2389</v>
      </c>
      <c r="C801" s="6" t="s">
        <v>12</v>
      </c>
      <c r="D801" s="6" t="s">
        <v>2390</v>
      </c>
      <c r="E801" s="6" t="s">
        <v>14</v>
      </c>
      <c r="F801" s="6" t="n">
        <v>703.36913713</v>
      </c>
      <c r="G801" s="6" t="n">
        <v>703.369</v>
      </c>
      <c r="H801" s="6" t="s">
        <v>792</v>
      </c>
      <c r="I801" s="0" t="n">
        <v>0.4</v>
      </c>
      <c r="J801" s="0" t="n">
        <f aca="false">CONVERT(G801,"m^2","ha")</f>
        <v>0.0703369</v>
      </c>
      <c r="K801" s="0" t="b">
        <f aca="false">IF(J801&gt;(I801*2),((ROUNDDOWN(J801/I801,0))-1))</f>
        <v>0</v>
      </c>
    </row>
    <row r="802" customFormat="false" ht="12.75" hidden="false" customHeight="false" outlineLevel="0" collapsed="false">
      <c r="A802" s="5" t="n">
        <v>1214</v>
      </c>
      <c r="B802" s="6" t="s">
        <v>2391</v>
      </c>
      <c r="C802" s="6" t="s">
        <v>12</v>
      </c>
      <c r="D802" s="6" t="s">
        <v>2392</v>
      </c>
      <c r="E802" s="6" t="s">
        <v>14</v>
      </c>
      <c r="F802" s="6" t="n">
        <v>1033.782037785</v>
      </c>
      <c r="G802" s="6" t="n">
        <v>1033.393</v>
      </c>
      <c r="H802" s="6" t="s">
        <v>792</v>
      </c>
      <c r="I802" s="0" t="n">
        <v>0.4</v>
      </c>
      <c r="J802" s="0" t="n">
        <f aca="false">CONVERT(G802,"m^2","ha")</f>
        <v>0.1033393</v>
      </c>
      <c r="K802" s="0" t="b">
        <f aca="false">IF(J802&gt;(I802*2),((ROUNDDOWN(J802/I802,0))-1))</f>
        <v>0</v>
      </c>
    </row>
    <row r="803" customFormat="false" ht="12.75" hidden="false" customHeight="false" outlineLevel="0" collapsed="false">
      <c r="A803" s="5" t="n">
        <v>1215</v>
      </c>
      <c r="B803" s="6" t="s">
        <v>2393</v>
      </c>
      <c r="C803" s="6" t="s">
        <v>12</v>
      </c>
      <c r="D803" s="6" t="s">
        <v>2394</v>
      </c>
      <c r="E803" s="6" t="s">
        <v>14</v>
      </c>
      <c r="F803" s="6" t="n">
        <v>816.464466325</v>
      </c>
      <c r="G803" s="6" t="n">
        <v>816.464</v>
      </c>
      <c r="H803" s="6" t="s">
        <v>792</v>
      </c>
      <c r="I803" s="0" t="n">
        <v>0.4</v>
      </c>
      <c r="J803" s="0" t="n">
        <f aca="false">CONVERT(G803,"m^2","ha")</f>
        <v>0.0816464</v>
      </c>
      <c r="K803" s="0" t="b">
        <f aca="false">IF(J803&gt;(I803*2),((ROUNDDOWN(J803/I803,0))-1))</f>
        <v>0</v>
      </c>
    </row>
    <row r="804" customFormat="false" ht="12.75" hidden="false" customHeight="false" outlineLevel="0" collapsed="false">
      <c r="A804" s="5" t="n">
        <v>1216</v>
      </c>
      <c r="B804" s="6" t="s">
        <v>2395</v>
      </c>
      <c r="C804" s="6" t="s">
        <v>12</v>
      </c>
      <c r="D804" s="6" t="s">
        <v>2396</v>
      </c>
      <c r="E804" s="6" t="s">
        <v>14</v>
      </c>
      <c r="F804" s="6" t="n">
        <v>718.59390641</v>
      </c>
      <c r="G804" s="6" t="n">
        <v>718.594</v>
      </c>
      <c r="H804" s="6" t="s">
        <v>792</v>
      </c>
      <c r="I804" s="0" t="n">
        <v>0.4</v>
      </c>
      <c r="J804" s="0" t="n">
        <f aca="false">CONVERT(G804,"m^2","ha")</f>
        <v>0.0718594</v>
      </c>
      <c r="K804" s="0" t="b">
        <f aca="false">IF(J804&gt;(I804*2),((ROUNDDOWN(J804/I804,0))-1))</f>
        <v>0</v>
      </c>
    </row>
    <row r="805" customFormat="false" ht="12.75" hidden="false" customHeight="false" outlineLevel="0" collapsed="false">
      <c r="A805" s="5" t="n">
        <v>1217</v>
      </c>
      <c r="B805" s="6" t="s">
        <v>2397</v>
      </c>
      <c r="C805" s="6" t="s">
        <v>12</v>
      </c>
      <c r="D805" s="6" t="s">
        <v>2398</v>
      </c>
      <c r="E805" s="6" t="s">
        <v>14</v>
      </c>
      <c r="F805" s="6" t="n">
        <v>621.1043954</v>
      </c>
      <c r="G805" s="6" t="n">
        <v>621.104</v>
      </c>
      <c r="H805" s="6" t="s">
        <v>792</v>
      </c>
      <c r="I805" s="0" t="n">
        <v>0.4</v>
      </c>
      <c r="J805" s="0" t="n">
        <f aca="false">CONVERT(G805,"m^2","ha")</f>
        <v>0.0621104</v>
      </c>
      <c r="K805" s="0" t="b">
        <f aca="false">IF(J805&gt;(I805*2),((ROUNDDOWN(J805/I805,0))-1))</f>
        <v>0</v>
      </c>
    </row>
    <row r="806" customFormat="false" ht="12.75" hidden="false" customHeight="false" outlineLevel="0" collapsed="false">
      <c r="A806" s="5" t="n">
        <v>1218</v>
      </c>
      <c r="B806" s="6" t="s">
        <v>2399</v>
      </c>
      <c r="C806" s="6" t="s">
        <v>12</v>
      </c>
      <c r="D806" s="6" t="s">
        <v>2400</v>
      </c>
      <c r="E806" s="6" t="s">
        <v>14</v>
      </c>
      <c r="F806" s="6" t="n">
        <v>790.131668195</v>
      </c>
      <c r="G806" s="6" t="n">
        <v>790.132</v>
      </c>
      <c r="H806" s="6" t="s">
        <v>792</v>
      </c>
      <c r="I806" s="0" t="n">
        <v>0.4</v>
      </c>
      <c r="J806" s="0" t="n">
        <f aca="false">CONVERT(G806,"m^2","ha")</f>
        <v>0.0790132</v>
      </c>
      <c r="K806" s="0" t="b">
        <f aca="false">IF(J806&gt;(I806*2),((ROUNDDOWN(J806/I806,0))-1))</f>
        <v>0</v>
      </c>
    </row>
    <row r="807" customFormat="false" ht="12.75" hidden="false" customHeight="false" outlineLevel="0" collapsed="false">
      <c r="A807" s="5" t="n">
        <v>1219</v>
      </c>
      <c r="B807" s="6" t="s">
        <v>2401</v>
      </c>
      <c r="C807" s="6" t="s">
        <v>12</v>
      </c>
      <c r="D807" s="6" t="s">
        <v>2402</v>
      </c>
      <c r="E807" s="6" t="s">
        <v>14</v>
      </c>
      <c r="F807" s="6" t="n">
        <v>914.8744597</v>
      </c>
      <c r="G807" s="6" t="n">
        <v>914.874</v>
      </c>
      <c r="H807" s="6" t="s">
        <v>792</v>
      </c>
      <c r="I807" s="0" t="n">
        <v>0.4</v>
      </c>
      <c r="J807" s="0" t="n">
        <f aca="false">CONVERT(G807,"m^2","ha")</f>
        <v>0.0914874</v>
      </c>
      <c r="K807" s="0" t="b">
        <f aca="false">IF(J807&gt;(I807*2),((ROUNDDOWN(J807/I807,0))-1))</f>
        <v>0</v>
      </c>
    </row>
    <row r="808" customFormat="false" ht="12.75" hidden="false" customHeight="false" outlineLevel="0" collapsed="false">
      <c r="A808" s="5" t="n">
        <v>1220</v>
      </c>
      <c r="B808" s="6" t="s">
        <v>2403</v>
      </c>
      <c r="C808" s="6" t="s">
        <v>12</v>
      </c>
      <c r="D808" s="6" t="s">
        <v>2404</v>
      </c>
      <c r="E808" s="6" t="s">
        <v>14</v>
      </c>
      <c r="F808" s="6" t="n">
        <v>951.181249055</v>
      </c>
      <c r="G808" s="6" t="n">
        <v>951.181</v>
      </c>
      <c r="H808" s="6" t="s">
        <v>792</v>
      </c>
      <c r="I808" s="0" t="n">
        <v>0.4</v>
      </c>
      <c r="J808" s="0" t="n">
        <f aca="false">CONVERT(G808,"m^2","ha")</f>
        <v>0.0951181</v>
      </c>
      <c r="K808" s="0" t="b">
        <f aca="false">IF(J808&gt;(I808*2),((ROUNDDOWN(J808/I808,0))-1))</f>
        <v>0</v>
      </c>
    </row>
    <row r="809" customFormat="false" ht="12.75" hidden="false" customHeight="false" outlineLevel="0" collapsed="false">
      <c r="A809" s="5" t="n">
        <v>1221</v>
      </c>
      <c r="B809" s="6" t="s">
        <v>2405</v>
      </c>
      <c r="C809" s="6" t="s">
        <v>12</v>
      </c>
      <c r="D809" s="6" t="s">
        <v>2406</v>
      </c>
      <c r="E809" s="6" t="s">
        <v>14</v>
      </c>
      <c r="F809" s="6" t="n">
        <v>933.980145885</v>
      </c>
      <c r="G809" s="6" t="n">
        <v>934.861</v>
      </c>
      <c r="H809" s="6" t="s">
        <v>792</v>
      </c>
      <c r="I809" s="0" t="n">
        <v>0.4</v>
      </c>
      <c r="J809" s="0" t="n">
        <f aca="false">CONVERT(G809,"m^2","ha")</f>
        <v>0.0934861</v>
      </c>
      <c r="K809" s="0" t="b">
        <f aca="false">IF(J809&gt;(I809*2),((ROUNDDOWN(J809/I809,0))-1))</f>
        <v>0</v>
      </c>
    </row>
    <row r="810" customFormat="false" ht="12.75" hidden="false" customHeight="false" outlineLevel="0" collapsed="false">
      <c r="A810" s="5" t="n">
        <v>1222</v>
      </c>
      <c r="B810" s="6" t="s">
        <v>2407</v>
      </c>
      <c r="C810" s="6" t="s">
        <v>12</v>
      </c>
      <c r="D810" s="6" t="s">
        <v>2408</v>
      </c>
      <c r="E810" s="6" t="s">
        <v>14</v>
      </c>
      <c r="F810" s="6" t="n">
        <v>812.055438045</v>
      </c>
      <c r="G810" s="6" t="n">
        <v>812.055</v>
      </c>
      <c r="H810" s="6" t="s">
        <v>792</v>
      </c>
      <c r="I810" s="0" t="n">
        <v>0.4</v>
      </c>
      <c r="J810" s="0" t="n">
        <f aca="false">CONVERT(G810,"m^2","ha")</f>
        <v>0.0812055</v>
      </c>
      <c r="K810" s="0" t="b">
        <f aca="false">IF(J810&gt;(I810*2),((ROUNDDOWN(J810/I810,0))-1))</f>
        <v>0</v>
      </c>
    </row>
    <row r="811" customFormat="false" ht="12.75" hidden="false" customHeight="false" outlineLevel="0" collapsed="false">
      <c r="A811" s="5" t="n">
        <v>1223</v>
      </c>
      <c r="B811" s="6" t="s">
        <v>2409</v>
      </c>
      <c r="C811" s="6" t="s">
        <v>12</v>
      </c>
      <c r="D811" s="6" t="s">
        <v>2410</v>
      </c>
      <c r="E811" s="6" t="s">
        <v>14</v>
      </c>
      <c r="F811" s="6" t="n">
        <v>789.385550815</v>
      </c>
      <c r="G811" s="6" t="n">
        <v>789.386</v>
      </c>
      <c r="H811" s="6" t="s">
        <v>792</v>
      </c>
      <c r="I811" s="0" t="n">
        <v>0.4</v>
      </c>
      <c r="J811" s="0" t="n">
        <f aca="false">CONVERT(G811,"m^2","ha")</f>
        <v>0.0789386</v>
      </c>
      <c r="K811" s="0" t="b">
        <f aca="false">IF(J811&gt;(I811*2),((ROUNDDOWN(J811/I811,0))-1))</f>
        <v>0</v>
      </c>
    </row>
    <row r="812" customFormat="false" ht="12.75" hidden="false" customHeight="false" outlineLevel="0" collapsed="false">
      <c r="A812" s="5" t="n">
        <v>1224</v>
      </c>
      <c r="B812" s="6" t="s">
        <v>2411</v>
      </c>
      <c r="C812" s="6" t="s">
        <v>12</v>
      </c>
      <c r="D812" s="6" t="s">
        <v>2412</v>
      </c>
      <c r="E812" s="6" t="s">
        <v>14</v>
      </c>
      <c r="F812" s="6" t="n">
        <v>1797.26855425</v>
      </c>
      <c r="G812" s="6" t="n">
        <v>1797.269</v>
      </c>
      <c r="H812" s="6" t="s">
        <v>792</v>
      </c>
      <c r="I812" s="0" t="n">
        <v>0.4</v>
      </c>
      <c r="J812" s="0" t="n">
        <f aca="false">CONVERT(G812,"m^2","ha")</f>
        <v>0.1797269</v>
      </c>
      <c r="K812" s="0" t="b">
        <f aca="false">IF(J812&gt;(I812*2),((ROUNDDOWN(J812/I812,0))-1))</f>
        <v>0</v>
      </c>
    </row>
    <row r="813" customFormat="false" ht="12.75" hidden="false" customHeight="false" outlineLevel="0" collapsed="false">
      <c r="A813" s="5" t="n">
        <v>1225</v>
      </c>
      <c r="B813" s="6" t="s">
        <v>2413</v>
      </c>
      <c r="C813" s="6" t="s">
        <v>12</v>
      </c>
      <c r="D813" s="6" t="s">
        <v>2414</v>
      </c>
      <c r="E813" s="6" t="s">
        <v>14</v>
      </c>
      <c r="F813" s="6" t="n">
        <v>726.473525685</v>
      </c>
      <c r="G813" s="6" t="n">
        <v>726.474</v>
      </c>
      <c r="H813" s="6" t="s">
        <v>792</v>
      </c>
      <c r="I813" s="0" t="n">
        <v>0.4</v>
      </c>
      <c r="J813" s="0" t="n">
        <f aca="false">CONVERT(G813,"m^2","ha")</f>
        <v>0.0726474</v>
      </c>
      <c r="K813" s="0" t="b">
        <f aca="false">IF(J813&gt;(I813*2),((ROUNDDOWN(J813/I813,0))-1))</f>
        <v>0</v>
      </c>
    </row>
    <row r="814" customFormat="false" ht="12.75" hidden="false" customHeight="false" outlineLevel="0" collapsed="false">
      <c r="A814" s="5" t="n">
        <v>1226</v>
      </c>
      <c r="B814" s="6" t="s">
        <v>2415</v>
      </c>
      <c r="C814" s="6" t="s">
        <v>12</v>
      </c>
      <c r="D814" s="6" t="s">
        <v>2416</v>
      </c>
      <c r="E814" s="6" t="s">
        <v>14</v>
      </c>
      <c r="F814" s="6" t="n">
        <v>799.765359575</v>
      </c>
      <c r="G814" s="6" t="n">
        <v>799.765</v>
      </c>
      <c r="H814" s="6" t="s">
        <v>792</v>
      </c>
      <c r="I814" s="0" t="n">
        <v>0.4</v>
      </c>
      <c r="J814" s="0" t="n">
        <f aca="false">CONVERT(G814,"m^2","ha")</f>
        <v>0.0799765</v>
      </c>
      <c r="K814" s="0" t="b">
        <f aca="false">IF(J814&gt;(I814*2),((ROUNDDOWN(J814/I814,0))-1))</f>
        <v>0</v>
      </c>
    </row>
    <row r="815" customFormat="false" ht="12.75" hidden="false" customHeight="false" outlineLevel="0" collapsed="false">
      <c r="A815" s="5" t="n">
        <v>1227</v>
      </c>
      <c r="B815" s="6" t="s">
        <v>2417</v>
      </c>
      <c r="C815" s="6" t="s">
        <v>12</v>
      </c>
      <c r="D815" s="6" t="s">
        <v>2418</v>
      </c>
      <c r="E815" s="6" t="s">
        <v>14</v>
      </c>
      <c r="F815" s="6" t="n">
        <v>724.33449426</v>
      </c>
      <c r="G815" s="6" t="n">
        <v>725.145</v>
      </c>
      <c r="H815" s="6" t="s">
        <v>792</v>
      </c>
      <c r="I815" s="0" t="n">
        <v>0.4</v>
      </c>
      <c r="J815" s="0" t="n">
        <f aca="false">CONVERT(G815,"m^2","ha")</f>
        <v>0.0725145</v>
      </c>
      <c r="K815" s="0" t="b">
        <f aca="false">IF(J815&gt;(I815*2),((ROUNDDOWN(J815/I815,0))-1))</f>
        <v>0</v>
      </c>
    </row>
    <row r="816" customFormat="false" ht="12.75" hidden="false" customHeight="false" outlineLevel="0" collapsed="false">
      <c r="A816" s="5" t="n">
        <v>1228</v>
      </c>
      <c r="B816" s="6" t="s">
        <v>2419</v>
      </c>
      <c r="C816" s="6" t="s">
        <v>12</v>
      </c>
      <c r="D816" s="6" t="s">
        <v>2420</v>
      </c>
      <c r="E816" s="6" t="s">
        <v>14</v>
      </c>
      <c r="F816" s="6" t="n">
        <v>883.189131865</v>
      </c>
      <c r="G816" s="6" t="n">
        <v>883.189</v>
      </c>
      <c r="H816" s="6" t="s">
        <v>792</v>
      </c>
      <c r="I816" s="0" t="n">
        <v>0.4</v>
      </c>
      <c r="J816" s="0" t="n">
        <f aca="false">CONVERT(G816,"m^2","ha")</f>
        <v>0.0883189</v>
      </c>
      <c r="K816" s="0" t="b">
        <f aca="false">IF(J816&gt;(I816*2),((ROUNDDOWN(J816/I816,0))-1))</f>
        <v>0</v>
      </c>
    </row>
    <row r="817" customFormat="false" ht="12.75" hidden="false" customHeight="false" outlineLevel="0" collapsed="false">
      <c r="A817" s="5" t="n">
        <v>1229</v>
      </c>
      <c r="B817" s="6" t="s">
        <v>2421</v>
      </c>
      <c r="C817" s="6" t="s">
        <v>12</v>
      </c>
      <c r="D817" s="6" t="s">
        <v>2422</v>
      </c>
      <c r="E817" s="6" t="s">
        <v>14</v>
      </c>
      <c r="F817" s="6" t="n">
        <v>1506.720994585</v>
      </c>
      <c r="G817" s="6" t="n">
        <v>1506.721</v>
      </c>
      <c r="H817" s="6" t="s">
        <v>792</v>
      </c>
      <c r="I817" s="0" t="n">
        <v>0.4</v>
      </c>
      <c r="J817" s="0" t="n">
        <f aca="false">CONVERT(G817,"m^2","ha")</f>
        <v>0.1506721</v>
      </c>
      <c r="K817" s="0" t="b">
        <f aca="false">IF(J817&gt;(I817*2),((ROUNDDOWN(J817/I817,0))-1))</f>
        <v>0</v>
      </c>
    </row>
    <row r="818" customFormat="false" ht="12.75" hidden="false" customHeight="false" outlineLevel="0" collapsed="false">
      <c r="A818" s="5" t="n">
        <v>1230</v>
      </c>
      <c r="B818" s="6" t="s">
        <v>2423</v>
      </c>
      <c r="C818" s="6" t="s">
        <v>12</v>
      </c>
      <c r="D818" s="6" t="s">
        <v>2424</v>
      </c>
      <c r="E818" s="6" t="s">
        <v>14</v>
      </c>
      <c r="F818" s="6" t="n">
        <v>952.200009255</v>
      </c>
      <c r="G818" s="6" t="n">
        <v>952.2</v>
      </c>
      <c r="H818" s="6" t="s">
        <v>792</v>
      </c>
      <c r="I818" s="0" t="n">
        <v>0.4</v>
      </c>
      <c r="J818" s="0" t="n">
        <f aca="false">CONVERT(G818,"m^2","ha")</f>
        <v>0.09522</v>
      </c>
      <c r="K818" s="0" t="b">
        <f aca="false">IF(J818&gt;(I818*2),((ROUNDDOWN(J818/I818,0))-1))</f>
        <v>0</v>
      </c>
    </row>
    <row r="819" customFormat="false" ht="12.75" hidden="false" customHeight="false" outlineLevel="0" collapsed="false">
      <c r="A819" s="5" t="n">
        <v>1231</v>
      </c>
      <c r="B819" s="6" t="s">
        <v>2425</v>
      </c>
      <c r="C819" s="6" t="s">
        <v>12</v>
      </c>
      <c r="D819" s="6" t="s">
        <v>2426</v>
      </c>
      <c r="E819" s="6" t="s">
        <v>14</v>
      </c>
      <c r="F819" s="6" t="n">
        <v>791.769505235</v>
      </c>
      <c r="G819" s="6" t="n">
        <v>791.77</v>
      </c>
      <c r="H819" s="6" t="s">
        <v>792</v>
      </c>
      <c r="I819" s="0" t="n">
        <v>0.4</v>
      </c>
      <c r="J819" s="0" t="n">
        <f aca="false">CONVERT(G819,"m^2","ha")</f>
        <v>0.079177</v>
      </c>
      <c r="K819" s="0" t="b">
        <f aca="false">IF(J819&gt;(I819*2),((ROUNDDOWN(J819/I819,0))-1))</f>
        <v>0</v>
      </c>
    </row>
    <row r="820" customFormat="false" ht="12.75" hidden="false" customHeight="false" outlineLevel="0" collapsed="false">
      <c r="A820" s="5" t="n">
        <v>1232</v>
      </c>
      <c r="B820" s="6" t="s">
        <v>2427</v>
      </c>
      <c r="C820" s="6" t="s">
        <v>12</v>
      </c>
      <c r="D820" s="6" t="s">
        <v>2428</v>
      </c>
      <c r="E820" s="6" t="s">
        <v>14</v>
      </c>
      <c r="F820" s="6" t="n">
        <v>1084.30358949</v>
      </c>
      <c r="G820" s="6" t="n">
        <v>1084.436</v>
      </c>
      <c r="H820" s="6" t="s">
        <v>792</v>
      </c>
      <c r="I820" s="0" t="n">
        <v>0.4</v>
      </c>
      <c r="J820" s="0" t="n">
        <f aca="false">CONVERT(G820,"m^2","ha")</f>
        <v>0.1084436</v>
      </c>
      <c r="K820" s="0" t="b">
        <f aca="false">IF(J820&gt;(I820*2),((ROUNDDOWN(J820/I820,0))-1))</f>
        <v>0</v>
      </c>
    </row>
    <row r="821" customFormat="false" ht="12.75" hidden="false" customHeight="false" outlineLevel="0" collapsed="false">
      <c r="A821" s="5" t="n">
        <v>1233</v>
      </c>
      <c r="B821" s="6" t="s">
        <v>2429</v>
      </c>
      <c r="C821" s="6" t="s">
        <v>12</v>
      </c>
      <c r="D821" s="6" t="s">
        <v>2430</v>
      </c>
      <c r="E821" s="6" t="s">
        <v>14</v>
      </c>
      <c r="F821" s="6" t="n">
        <v>900.55410278</v>
      </c>
      <c r="G821" s="6" t="n">
        <v>900.762</v>
      </c>
      <c r="H821" s="6" t="s">
        <v>792</v>
      </c>
      <c r="I821" s="0" t="n">
        <v>0.4</v>
      </c>
      <c r="J821" s="0" t="n">
        <f aca="false">CONVERT(G821,"m^2","ha")</f>
        <v>0.0900762</v>
      </c>
      <c r="K821" s="0" t="b">
        <f aca="false">IF(J821&gt;(I821*2),((ROUNDDOWN(J821/I821,0))-1))</f>
        <v>0</v>
      </c>
    </row>
    <row r="822" customFormat="false" ht="12.75" hidden="false" customHeight="false" outlineLevel="0" collapsed="false">
      <c r="A822" s="5" t="n">
        <v>1234</v>
      </c>
      <c r="B822" s="6" t="s">
        <v>2431</v>
      </c>
      <c r="C822" s="6" t="s">
        <v>12</v>
      </c>
      <c r="D822" s="6" t="s">
        <v>2432</v>
      </c>
      <c r="E822" s="6" t="s">
        <v>14</v>
      </c>
      <c r="F822" s="6" t="n">
        <v>1217.601442425</v>
      </c>
      <c r="G822" s="6" t="n">
        <v>1217.601</v>
      </c>
      <c r="H822" s="6" t="s">
        <v>792</v>
      </c>
      <c r="I822" s="0" t="n">
        <v>0.4</v>
      </c>
      <c r="J822" s="0" t="n">
        <f aca="false">CONVERT(G822,"m^2","ha")</f>
        <v>0.1217601</v>
      </c>
      <c r="K822" s="0" t="b">
        <f aca="false">IF(J822&gt;(I822*2),((ROUNDDOWN(J822/I822,0))-1))</f>
        <v>0</v>
      </c>
    </row>
    <row r="823" customFormat="false" ht="12.75" hidden="false" customHeight="false" outlineLevel="0" collapsed="false">
      <c r="A823" s="5" t="n">
        <v>1251</v>
      </c>
      <c r="B823" s="6" t="s">
        <v>2433</v>
      </c>
      <c r="C823" s="6" t="s">
        <v>12</v>
      </c>
      <c r="D823" s="6" t="s">
        <v>2434</v>
      </c>
      <c r="E823" s="6" t="s">
        <v>14</v>
      </c>
      <c r="F823" s="6" t="n">
        <v>2007.694187925</v>
      </c>
      <c r="G823" s="6" t="n">
        <v>2007.694</v>
      </c>
      <c r="H823" s="6" t="s">
        <v>792</v>
      </c>
      <c r="I823" s="0" t="n">
        <v>0.4</v>
      </c>
      <c r="J823" s="0" t="n">
        <f aca="false">CONVERT(G823,"m^2","ha")</f>
        <v>0.2007694</v>
      </c>
      <c r="K823" s="0" t="b">
        <f aca="false">IF(J823&gt;(I823*2),((ROUNDDOWN(J823/I823,0))-1))</f>
        <v>0</v>
      </c>
    </row>
    <row r="824" customFormat="false" ht="12.75" hidden="false" customHeight="false" outlineLevel="0" collapsed="false">
      <c r="A824" s="5" t="n">
        <v>1252</v>
      </c>
      <c r="B824" s="6" t="s">
        <v>2435</v>
      </c>
      <c r="C824" s="6" t="s">
        <v>12</v>
      </c>
      <c r="D824" s="6" t="s">
        <v>2436</v>
      </c>
      <c r="E824" s="6" t="s">
        <v>14</v>
      </c>
      <c r="F824" s="6" t="n">
        <v>1390.462493555</v>
      </c>
      <c r="G824" s="6" t="n">
        <v>1389.999</v>
      </c>
      <c r="H824" s="6" t="s">
        <v>792</v>
      </c>
      <c r="I824" s="0" t="n">
        <v>0.4</v>
      </c>
      <c r="J824" s="0" t="n">
        <f aca="false">CONVERT(G824,"m^2","ha")</f>
        <v>0.1389999</v>
      </c>
      <c r="K824" s="0" t="b">
        <f aca="false">IF(J824&gt;(I824*2),((ROUNDDOWN(J824/I824,0))-1))</f>
        <v>0</v>
      </c>
    </row>
    <row r="825" customFormat="false" ht="12.75" hidden="false" customHeight="false" outlineLevel="0" collapsed="false">
      <c r="A825" s="5" t="n">
        <v>1270</v>
      </c>
      <c r="B825" s="6" t="s">
        <v>2437</v>
      </c>
      <c r="C825" s="6" t="s">
        <v>12</v>
      </c>
      <c r="D825" s="6" t="s">
        <v>2438</v>
      </c>
      <c r="E825" s="6" t="s">
        <v>14</v>
      </c>
      <c r="F825" s="6" t="n">
        <v>560.967965675</v>
      </c>
      <c r="G825" s="6" t="n">
        <v>560.968</v>
      </c>
      <c r="H825" s="6" t="s">
        <v>792</v>
      </c>
      <c r="I825" s="0" t="n">
        <v>0.4</v>
      </c>
      <c r="J825" s="0" t="n">
        <f aca="false">CONVERT(G825,"m^2","ha")</f>
        <v>0.0560968</v>
      </c>
      <c r="K825" s="0" t="b">
        <f aca="false">IF(J825&gt;(I825*2),((ROUNDDOWN(J825/I825,0))-1))</f>
        <v>0</v>
      </c>
    </row>
    <row r="826" customFormat="false" ht="12.75" hidden="false" customHeight="false" outlineLevel="0" collapsed="false">
      <c r="A826" s="5" t="n">
        <v>1271</v>
      </c>
      <c r="B826" s="6" t="s">
        <v>2439</v>
      </c>
      <c r="C826" s="6" t="s">
        <v>12</v>
      </c>
      <c r="D826" s="6" t="s">
        <v>2440</v>
      </c>
      <c r="E826" s="6" t="s">
        <v>14</v>
      </c>
      <c r="F826" s="6" t="n">
        <v>1195.823497125</v>
      </c>
      <c r="G826" s="6" t="n">
        <v>1195.823</v>
      </c>
      <c r="H826" s="6" t="s">
        <v>792</v>
      </c>
      <c r="I826" s="0" t="n">
        <v>0.4</v>
      </c>
      <c r="J826" s="0" t="n">
        <f aca="false">CONVERT(G826,"m^2","ha")</f>
        <v>0.1195823</v>
      </c>
      <c r="K826" s="0" t="b">
        <f aca="false">IF(J826&gt;(I826*2),((ROUNDDOWN(J826/I826,0))-1))</f>
        <v>0</v>
      </c>
    </row>
    <row r="827" customFormat="false" ht="12.75" hidden="false" customHeight="false" outlineLevel="0" collapsed="false">
      <c r="A827" s="5" t="n">
        <v>1273</v>
      </c>
      <c r="B827" s="6" t="s">
        <v>2441</v>
      </c>
      <c r="C827" s="6" t="s">
        <v>12</v>
      </c>
      <c r="D827" s="6" t="s">
        <v>2442</v>
      </c>
      <c r="E827" s="6" t="s">
        <v>14</v>
      </c>
      <c r="F827" s="6" t="n">
        <v>814.578922615</v>
      </c>
      <c r="G827" s="6" t="n">
        <v>815.654</v>
      </c>
      <c r="H827" s="6" t="s">
        <v>792</v>
      </c>
      <c r="I827" s="0" t="n">
        <v>0.4</v>
      </c>
      <c r="J827" s="0" t="n">
        <f aca="false">CONVERT(G827,"m^2","ha")</f>
        <v>0.0815654</v>
      </c>
      <c r="K827" s="0" t="b">
        <f aca="false">IF(J827&gt;(I827*2),((ROUNDDOWN(J827/I827,0))-1))</f>
        <v>0</v>
      </c>
    </row>
    <row r="828" customFormat="false" ht="12.75" hidden="false" customHeight="false" outlineLevel="0" collapsed="false">
      <c r="A828" s="5" t="n">
        <v>1274</v>
      </c>
      <c r="B828" s="6" t="s">
        <v>2443</v>
      </c>
      <c r="C828" s="6" t="s">
        <v>12</v>
      </c>
      <c r="D828" s="6" t="s">
        <v>2444</v>
      </c>
      <c r="E828" s="6" t="s">
        <v>14</v>
      </c>
      <c r="F828" s="6" t="n">
        <v>827.19166844</v>
      </c>
      <c r="G828" s="6" t="n">
        <v>826.524</v>
      </c>
      <c r="H828" s="6" t="s">
        <v>792</v>
      </c>
      <c r="I828" s="0" t="n">
        <v>0.4</v>
      </c>
      <c r="J828" s="0" t="n">
        <f aca="false">CONVERT(G828,"m^2","ha")</f>
        <v>0.0826524</v>
      </c>
      <c r="K828" s="0" t="b">
        <f aca="false">IF(J828&gt;(I828*2),((ROUNDDOWN(J828/I828,0))-1))</f>
        <v>0</v>
      </c>
    </row>
    <row r="829" customFormat="false" ht="12.75" hidden="false" customHeight="false" outlineLevel="0" collapsed="false">
      <c r="A829" s="5" t="n">
        <v>1275</v>
      </c>
      <c r="B829" s="6" t="s">
        <v>2445</v>
      </c>
      <c r="C829" s="6" t="s">
        <v>12</v>
      </c>
      <c r="D829" s="6" t="s">
        <v>2446</v>
      </c>
      <c r="E829" s="6" t="s">
        <v>14</v>
      </c>
      <c r="F829" s="6" t="n">
        <v>1441.446377505</v>
      </c>
      <c r="G829" s="6" t="n">
        <v>1441.446</v>
      </c>
      <c r="H829" s="6" t="s">
        <v>792</v>
      </c>
      <c r="I829" s="0" t="n">
        <v>0.4</v>
      </c>
      <c r="J829" s="0" t="n">
        <f aca="false">CONVERT(G829,"m^2","ha")</f>
        <v>0.1441446</v>
      </c>
      <c r="K829" s="0" t="b">
        <f aca="false">IF(J829&gt;(I829*2),((ROUNDDOWN(J829/I829,0))-1))</f>
        <v>0</v>
      </c>
    </row>
    <row r="830" customFormat="false" ht="12.75" hidden="false" customHeight="false" outlineLevel="0" collapsed="false">
      <c r="A830" s="5" t="n">
        <v>1277</v>
      </c>
      <c r="B830" s="6" t="s">
        <v>2447</v>
      </c>
      <c r="C830" s="6" t="s">
        <v>12</v>
      </c>
      <c r="D830" s="6" t="s">
        <v>2448</v>
      </c>
      <c r="E830" s="6" t="s">
        <v>14</v>
      </c>
      <c r="F830" s="6" t="n">
        <v>807.79895645</v>
      </c>
      <c r="G830" s="6" t="n">
        <v>806.876</v>
      </c>
      <c r="H830" s="6" t="s">
        <v>792</v>
      </c>
      <c r="I830" s="0" t="n">
        <v>0.4</v>
      </c>
      <c r="J830" s="0" t="n">
        <f aca="false">CONVERT(G830,"m^2","ha")</f>
        <v>0.0806876</v>
      </c>
      <c r="K830" s="0" t="b">
        <f aca="false">IF(J830&gt;(I830*2),((ROUNDDOWN(J830/I830,0))-1))</f>
        <v>0</v>
      </c>
    </row>
    <row r="831" customFormat="false" ht="12.75" hidden="false" customHeight="false" outlineLevel="0" collapsed="false">
      <c r="A831" s="5" t="n">
        <v>1278</v>
      </c>
      <c r="B831" s="6" t="s">
        <v>2449</v>
      </c>
      <c r="C831" s="6" t="s">
        <v>12</v>
      </c>
      <c r="D831" s="6" t="s">
        <v>2450</v>
      </c>
      <c r="E831" s="6" t="s">
        <v>14</v>
      </c>
      <c r="F831" s="6" t="n">
        <v>812.004820035</v>
      </c>
      <c r="G831" s="6" t="n">
        <v>812.005</v>
      </c>
      <c r="H831" s="6" t="s">
        <v>792</v>
      </c>
      <c r="I831" s="0" t="n">
        <v>0.4</v>
      </c>
      <c r="J831" s="0" t="n">
        <f aca="false">CONVERT(G831,"m^2","ha")</f>
        <v>0.0812005</v>
      </c>
      <c r="K831" s="0" t="b">
        <f aca="false">IF(J831&gt;(I831*2),((ROUNDDOWN(J831/I831,0))-1))</f>
        <v>0</v>
      </c>
    </row>
    <row r="832" customFormat="false" ht="12.75" hidden="false" customHeight="false" outlineLevel="0" collapsed="false">
      <c r="A832" s="5" t="n">
        <v>1279</v>
      </c>
      <c r="B832" s="6" t="s">
        <v>2451</v>
      </c>
      <c r="C832" s="6" t="s">
        <v>12</v>
      </c>
      <c r="D832" s="6" t="s">
        <v>2452</v>
      </c>
      <c r="E832" s="6" t="s">
        <v>14</v>
      </c>
      <c r="F832" s="6" t="n">
        <v>1165.539154085</v>
      </c>
      <c r="G832" s="6" t="n">
        <v>1165.043</v>
      </c>
      <c r="H832" s="6" t="s">
        <v>792</v>
      </c>
      <c r="I832" s="0" t="n">
        <v>0.4</v>
      </c>
      <c r="J832" s="0" t="n">
        <f aca="false">CONVERT(G832,"m^2","ha")</f>
        <v>0.1165043</v>
      </c>
      <c r="K832" s="0" t="b">
        <f aca="false">IF(J832&gt;(I832*2),((ROUNDDOWN(J832/I832,0))-1))</f>
        <v>0</v>
      </c>
    </row>
    <row r="833" customFormat="false" ht="12.75" hidden="false" customHeight="false" outlineLevel="0" collapsed="false">
      <c r="A833" s="5" t="n">
        <v>1281</v>
      </c>
      <c r="B833" s="6" t="s">
        <v>2453</v>
      </c>
      <c r="C833" s="6" t="s">
        <v>12</v>
      </c>
      <c r="D833" s="6" t="s">
        <v>2454</v>
      </c>
      <c r="E833" s="6" t="s">
        <v>14</v>
      </c>
      <c r="F833" s="6" t="n">
        <v>10322.50779321</v>
      </c>
      <c r="G833" s="6" t="n">
        <v>10322.508</v>
      </c>
      <c r="H833" s="6" t="s">
        <v>792</v>
      </c>
      <c r="I833" s="0" t="n">
        <v>0.4</v>
      </c>
      <c r="J833" s="0" t="n">
        <f aca="false">CONVERT(G833,"m^2","ha")</f>
        <v>1.0322508</v>
      </c>
      <c r="K833" s="0" t="n">
        <f aca="false">IF(J833&gt;(I833*2),((ROUNDDOWN(J833/I833,0))-1))</f>
        <v>1</v>
      </c>
    </row>
    <row r="834" customFormat="false" ht="12.75" hidden="false" customHeight="false" outlineLevel="0" collapsed="false">
      <c r="A834" s="5" t="n">
        <v>1282</v>
      </c>
      <c r="B834" s="6" t="s">
        <v>2455</v>
      </c>
      <c r="C834" s="6" t="s">
        <v>89</v>
      </c>
      <c r="D834" s="6" t="s">
        <v>2456</v>
      </c>
      <c r="E834" s="6" t="s">
        <v>14</v>
      </c>
      <c r="F834" s="6" t="n">
        <v>11575.132486085</v>
      </c>
      <c r="G834" s="6" t="n">
        <v>11575.132</v>
      </c>
      <c r="H834" s="6" t="s">
        <v>792</v>
      </c>
      <c r="I834" s="0" t="n">
        <v>0.4</v>
      </c>
      <c r="J834" s="0" t="n">
        <f aca="false">CONVERT(G834,"m^2","ha")</f>
        <v>1.1575132</v>
      </c>
      <c r="K834" s="0" t="n">
        <f aca="false">IF(J834&gt;(I834*2),((ROUNDDOWN(J834/I834,0))-1))</f>
        <v>1</v>
      </c>
    </row>
    <row r="835" customFormat="false" ht="12.75" hidden="false" customHeight="false" outlineLevel="0" collapsed="false">
      <c r="A835" s="5" t="n">
        <v>1283</v>
      </c>
      <c r="B835" s="6" t="s">
        <v>2457</v>
      </c>
      <c r="C835" s="6" t="s">
        <v>12</v>
      </c>
      <c r="D835" s="6" t="s">
        <v>2458</v>
      </c>
      <c r="E835" s="6" t="s">
        <v>14</v>
      </c>
      <c r="F835" s="6" t="n">
        <v>1251.446910365</v>
      </c>
      <c r="G835" s="6" t="n">
        <v>1251.447</v>
      </c>
      <c r="H835" s="6" t="s">
        <v>792</v>
      </c>
      <c r="I835" s="0" t="n">
        <v>0.4</v>
      </c>
      <c r="J835" s="0" t="n">
        <f aca="false">CONVERT(G835,"m^2","ha")</f>
        <v>0.1251447</v>
      </c>
      <c r="K835" s="0" t="b">
        <f aca="false">IF(J835&gt;(I835*2),((ROUNDDOWN(J835/I835,0))-1))</f>
        <v>0</v>
      </c>
    </row>
    <row r="836" customFormat="false" ht="12.75" hidden="false" customHeight="false" outlineLevel="0" collapsed="false">
      <c r="A836" s="5" t="n">
        <v>1285</v>
      </c>
      <c r="B836" s="6" t="s">
        <v>2459</v>
      </c>
      <c r="C836" s="6" t="s">
        <v>89</v>
      </c>
      <c r="D836" s="6" t="s">
        <v>2460</v>
      </c>
      <c r="E836" s="6" t="s">
        <v>14</v>
      </c>
      <c r="F836" s="6" t="n">
        <v>10353.869935835</v>
      </c>
      <c r="G836" s="6" t="n">
        <v>10353.87</v>
      </c>
      <c r="H836" s="6" t="s">
        <v>792</v>
      </c>
      <c r="I836" s="0" t="n">
        <v>0.4</v>
      </c>
      <c r="J836" s="0" t="n">
        <f aca="false">CONVERT(G836,"m^2","ha")</f>
        <v>1.035387</v>
      </c>
      <c r="K836" s="0" t="n">
        <f aca="false">IF(J836&gt;(I836*2),((ROUNDDOWN(J836/I836,0))-1))</f>
        <v>1</v>
      </c>
    </row>
    <row r="837" customFormat="false" ht="12.75" hidden="false" customHeight="false" outlineLevel="0" collapsed="false">
      <c r="A837" s="5" t="n">
        <v>1297</v>
      </c>
      <c r="B837" s="6" t="s">
        <v>2461</v>
      </c>
      <c r="C837" s="6" t="s">
        <v>12</v>
      </c>
      <c r="D837" s="6" t="s">
        <v>2462</v>
      </c>
      <c r="E837" s="6" t="s">
        <v>14</v>
      </c>
      <c r="F837" s="6" t="n">
        <v>1229.561777775</v>
      </c>
      <c r="G837" s="6" t="n">
        <v>1229.562</v>
      </c>
      <c r="H837" s="6" t="s">
        <v>792</v>
      </c>
      <c r="I837" s="0" t="n">
        <v>0.4</v>
      </c>
      <c r="J837" s="0" t="n">
        <f aca="false">CONVERT(G837,"m^2","ha")</f>
        <v>0.1229562</v>
      </c>
      <c r="K837" s="0" t="b">
        <f aca="false">IF(J837&gt;(I837*2),((ROUNDDOWN(J837/I837,0))-1))</f>
        <v>0</v>
      </c>
    </row>
    <row r="838" customFormat="false" ht="12.75" hidden="false" customHeight="false" outlineLevel="0" collapsed="false">
      <c r="A838" s="5" t="n">
        <v>1305</v>
      </c>
      <c r="B838" s="6" t="s">
        <v>2463</v>
      </c>
      <c r="C838" s="6" t="s">
        <v>89</v>
      </c>
      <c r="D838" s="6" t="s">
        <v>2464</v>
      </c>
      <c r="E838" s="6" t="s">
        <v>14</v>
      </c>
      <c r="F838" s="6" t="n">
        <v>9905.8661608</v>
      </c>
      <c r="G838" s="6" t="n">
        <v>9905.866</v>
      </c>
      <c r="H838" s="6" t="s">
        <v>792</v>
      </c>
      <c r="I838" s="0" t="n">
        <v>0.4</v>
      </c>
      <c r="J838" s="0" t="n">
        <f aca="false">CONVERT(G838,"m^2","ha")</f>
        <v>0.9905866</v>
      </c>
      <c r="K838" s="0" t="n">
        <f aca="false">IF(J838&gt;(I838*2),((ROUNDDOWN(J838/I838,0))-1))</f>
        <v>1</v>
      </c>
    </row>
    <row r="839" customFormat="false" ht="12.75" hidden="false" customHeight="false" outlineLevel="0" collapsed="false">
      <c r="A839" s="5" t="n">
        <v>1308</v>
      </c>
      <c r="B839" s="6" t="s">
        <v>2465</v>
      </c>
      <c r="C839" s="6" t="s">
        <v>12</v>
      </c>
      <c r="D839" s="6" t="s">
        <v>2466</v>
      </c>
      <c r="E839" s="6" t="s">
        <v>14</v>
      </c>
      <c r="F839" s="6" t="n">
        <v>12318.14416681</v>
      </c>
      <c r="G839" s="6" t="n">
        <v>12318.144</v>
      </c>
      <c r="H839" s="6" t="s">
        <v>792</v>
      </c>
      <c r="I839" s="0" t="n">
        <v>0.4</v>
      </c>
      <c r="J839" s="0" t="n">
        <f aca="false">CONVERT(G839,"m^2","ha")</f>
        <v>1.2318144</v>
      </c>
      <c r="K839" s="0" t="n">
        <f aca="false">IF(J839&gt;(I839*2),((ROUNDDOWN(J839/I839,0))-1))</f>
        <v>2</v>
      </c>
    </row>
    <row r="840" customFormat="false" ht="12.75" hidden="false" customHeight="false" outlineLevel="0" collapsed="false">
      <c r="A840" s="5" t="n">
        <v>1309</v>
      </c>
      <c r="B840" s="6" t="s">
        <v>2467</v>
      </c>
      <c r="C840" s="6" t="s">
        <v>12</v>
      </c>
      <c r="D840" s="6" t="s">
        <v>2468</v>
      </c>
      <c r="E840" s="6" t="s">
        <v>14</v>
      </c>
      <c r="F840" s="6" t="n">
        <v>1387.04870399</v>
      </c>
      <c r="G840" s="6" t="n">
        <v>1387.049</v>
      </c>
      <c r="H840" s="6" t="s">
        <v>792</v>
      </c>
      <c r="I840" s="0" t="n">
        <v>0.4</v>
      </c>
      <c r="J840" s="0" t="n">
        <f aca="false">CONVERT(G840,"m^2","ha")</f>
        <v>0.1387049</v>
      </c>
      <c r="K840" s="0" t="b">
        <f aca="false">IF(J840&gt;(I840*2),((ROUNDDOWN(J840/I840,0))-1))</f>
        <v>0</v>
      </c>
    </row>
    <row r="841" customFormat="false" ht="12.75" hidden="false" customHeight="false" outlineLevel="0" collapsed="false">
      <c r="A841" s="5" t="n">
        <v>1318</v>
      </c>
      <c r="B841" s="6" t="s">
        <v>2469</v>
      </c>
      <c r="C841" s="6" t="s">
        <v>89</v>
      </c>
      <c r="D841" s="6" t="s">
        <v>2470</v>
      </c>
      <c r="E841" s="6" t="s">
        <v>14</v>
      </c>
      <c r="F841" s="6" t="n">
        <v>9853.08297526</v>
      </c>
      <c r="G841" s="6" t="n">
        <v>9853.083</v>
      </c>
      <c r="H841" s="6" t="s">
        <v>792</v>
      </c>
      <c r="I841" s="0" t="n">
        <v>0.4</v>
      </c>
      <c r="J841" s="0" t="n">
        <f aca="false">CONVERT(G841,"m^2","ha")</f>
        <v>0.9853083</v>
      </c>
      <c r="K841" s="0" t="n">
        <f aca="false">IF(J841&gt;(I841*2),((ROUNDDOWN(J841/I841,0))-1))</f>
        <v>1</v>
      </c>
    </row>
    <row r="842" customFormat="false" ht="12.75" hidden="false" customHeight="false" outlineLevel="0" collapsed="false">
      <c r="A842" s="5" t="n">
        <v>1320</v>
      </c>
      <c r="B842" s="6" t="s">
        <v>2471</v>
      </c>
      <c r="C842" s="6" t="s">
        <v>89</v>
      </c>
      <c r="D842" s="6" t="s">
        <v>2472</v>
      </c>
      <c r="E842" s="6" t="s">
        <v>14</v>
      </c>
      <c r="F842" s="6" t="n">
        <v>259.90690458</v>
      </c>
      <c r="G842" s="6" t="n">
        <v>261.584</v>
      </c>
      <c r="H842" s="6" t="s">
        <v>792</v>
      </c>
      <c r="I842" s="0" t="n">
        <v>0.4</v>
      </c>
      <c r="J842" s="0" t="n">
        <f aca="false">CONVERT(G842,"m^2","ha")</f>
        <v>0.0261584</v>
      </c>
      <c r="K842" s="0" t="b">
        <f aca="false">IF(J842&gt;(I842*2),((ROUNDDOWN(J842/I842,0))-1))</f>
        <v>0</v>
      </c>
    </row>
    <row r="843" customFormat="false" ht="12.75" hidden="false" customHeight="false" outlineLevel="0" collapsed="false">
      <c r="A843" s="5" t="n">
        <v>1321</v>
      </c>
      <c r="B843" s="6" t="s">
        <v>2473</v>
      </c>
      <c r="C843" s="6" t="s">
        <v>89</v>
      </c>
      <c r="D843" s="6" t="s">
        <v>2474</v>
      </c>
      <c r="E843" s="6" t="s">
        <v>14</v>
      </c>
      <c r="F843" s="6" t="n">
        <v>261.161713785</v>
      </c>
      <c r="G843" s="6" t="n">
        <v>262.848</v>
      </c>
      <c r="H843" s="6" t="s">
        <v>792</v>
      </c>
      <c r="I843" s="0" t="n">
        <v>0.4</v>
      </c>
      <c r="J843" s="0" t="n">
        <f aca="false">CONVERT(G843,"m^2","ha")</f>
        <v>0.0262848</v>
      </c>
      <c r="K843" s="0" t="b">
        <f aca="false">IF(J843&gt;(I843*2),((ROUNDDOWN(J843/I843,0))-1))</f>
        <v>0</v>
      </c>
    </row>
    <row r="844" customFormat="false" ht="12.75" hidden="false" customHeight="false" outlineLevel="0" collapsed="false">
      <c r="A844" s="5" t="n">
        <v>1322</v>
      </c>
      <c r="B844" s="6" t="s">
        <v>2475</v>
      </c>
      <c r="C844" s="6" t="s">
        <v>89</v>
      </c>
      <c r="D844" s="6" t="s">
        <v>2476</v>
      </c>
      <c r="E844" s="6" t="s">
        <v>14</v>
      </c>
      <c r="F844" s="6" t="n">
        <v>259.256883855</v>
      </c>
      <c r="G844" s="6" t="n">
        <v>260.93</v>
      </c>
      <c r="H844" s="6" t="s">
        <v>792</v>
      </c>
      <c r="I844" s="0" t="n">
        <v>0.4</v>
      </c>
      <c r="J844" s="0" t="n">
        <f aca="false">CONVERT(G844,"m^2","ha")</f>
        <v>0.026093</v>
      </c>
      <c r="K844" s="0" t="b">
        <f aca="false">IF(J844&gt;(I844*2),((ROUNDDOWN(J844/I844,0))-1))</f>
        <v>0</v>
      </c>
    </row>
    <row r="845" customFormat="false" ht="12.75" hidden="false" customHeight="false" outlineLevel="0" collapsed="false">
      <c r="A845" s="5" t="n">
        <v>1323</v>
      </c>
      <c r="B845" s="6" t="s">
        <v>2477</v>
      </c>
      <c r="C845" s="6" t="s">
        <v>89</v>
      </c>
      <c r="D845" s="6" t="s">
        <v>2478</v>
      </c>
      <c r="E845" s="6" t="s">
        <v>14</v>
      </c>
      <c r="F845" s="6" t="n">
        <v>260.66038526</v>
      </c>
      <c r="G845" s="6" t="n">
        <v>262.345</v>
      </c>
      <c r="H845" s="6" t="s">
        <v>792</v>
      </c>
      <c r="I845" s="0" t="n">
        <v>0.4</v>
      </c>
      <c r="J845" s="0" t="n">
        <f aca="false">CONVERT(G845,"m^2","ha")</f>
        <v>0.0262345</v>
      </c>
      <c r="K845" s="0" t="b">
        <f aca="false">IF(J845&gt;(I845*2),((ROUNDDOWN(J845/I845,0))-1))</f>
        <v>0</v>
      </c>
    </row>
    <row r="846" customFormat="false" ht="12.75" hidden="false" customHeight="false" outlineLevel="0" collapsed="false">
      <c r="A846" s="5" t="n">
        <v>1324</v>
      </c>
      <c r="B846" s="6" t="s">
        <v>2479</v>
      </c>
      <c r="C846" s="6" t="s">
        <v>89</v>
      </c>
      <c r="D846" s="6" t="s">
        <v>2480</v>
      </c>
      <c r="E846" s="6" t="s">
        <v>14</v>
      </c>
      <c r="F846" s="6" t="n">
        <v>259.70209361</v>
      </c>
      <c r="G846" s="6" t="n">
        <v>261.379</v>
      </c>
      <c r="H846" s="6" t="s">
        <v>792</v>
      </c>
      <c r="I846" s="0" t="n">
        <v>0.4</v>
      </c>
      <c r="J846" s="0" t="n">
        <f aca="false">CONVERT(G846,"m^2","ha")</f>
        <v>0.0261379</v>
      </c>
      <c r="K846" s="0" t="b">
        <f aca="false">IF(J846&gt;(I846*2),((ROUNDDOWN(J846/I846,0))-1))</f>
        <v>0</v>
      </c>
    </row>
    <row r="847" customFormat="false" ht="12.75" hidden="false" customHeight="false" outlineLevel="0" collapsed="false">
      <c r="A847" s="5" t="n">
        <v>1325</v>
      </c>
      <c r="B847" s="6" t="s">
        <v>2481</v>
      </c>
      <c r="C847" s="6" t="s">
        <v>89</v>
      </c>
      <c r="D847" s="6" t="s">
        <v>2482</v>
      </c>
      <c r="E847" s="6" t="s">
        <v>14</v>
      </c>
      <c r="F847" s="6" t="n">
        <v>261.360693595</v>
      </c>
      <c r="G847" s="6" t="n">
        <v>263.048</v>
      </c>
      <c r="H847" s="6" t="s">
        <v>792</v>
      </c>
      <c r="I847" s="0" t="n">
        <v>0.4</v>
      </c>
      <c r="J847" s="0" t="n">
        <f aca="false">CONVERT(G847,"m^2","ha")</f>
        <v>0.0263048</v>
      </c>
      <c r="K847" s="0" t="b">
        <f aca="false">IF(J847&gt;(I847*2),((ROUNDDOWN(J847/I847,0))-1))</f>
        <v>0</v>
      </c>
    </row>
    <row r="848" customFormat="false" ht="12.75" hidden="false" customHeight="false" outlineLevel="0" collapsed="false">
      <c r="A848" s="5" t="n">
        <v>1349</v>
      </c>
      <c r="B848" s="6" t="s">
        <v>2483</v>
      </c>
      <c r="C848" s="6" t="s">
        <v>12</v>
      </c>
      <c r="D848" s="6" t="s">
        <v>2484</v>
      </c>
      <c r="E848" s="6" t="s">
        <v>14</v>
      </c>
      <c r="F848" s="6" t="n">
        <v>13064.28110241</v>
      </c>
      <c r="G848" s="6" t="n">
        <v>13064.281</v>
      </c>
      <c r="H848" s="6" t="s">
        <v>792</v>
      </c>
      <c r="I848" s="0" t="n">
        <v>0.4</v>
      </c>
      <c r="J848" s="0" t="n">
        <f aca="false">CONVERT(G848,"m^2","ha")</f>
        <v>1.3064281</v>
      </c>
      <c r="K848" s="0" t="n">
        <f aca="false">IF(J848&gt;(I848*2),((ROUNDDOWN(J848/I848,0))-1))</f>
        <v>2</v>
      </c>
    </row>
    <row r="849" customFormat="false" ht="12.75" hidden="false" customHeight="false" outlineLevel="0" collapsed="false">
      <c r="A849" s="5" t="n">
        <v>1356</v>
      </c>
      <c r="B849" s="6" t="s">
        <v>2485</v>
      </c>
      <c r="C849" s="6" t="s">
        <v>12</v>
      </c>
      <c r="D849" s="6" t="s">
        <v>2486</v>
      </c>
      <c r="E849" s="6" t="s">
        <v>14</v>
      </c>
      <c r="F849" s="6" t="n">
        <v>10625.51821833</v>
      </c>
      <c r="G849" s="6" t="n">
        <v>10625.518</v>
      </c>
      <c r="H849" s="6" t="s">
        <v>792</v>
      </c>
      <c r="I849" s="0" t="n">
        <v>0.4</v>
      </c>
      <c r="J849" s="0" t="n">
        <f aca="false">CONVERT(G849,"m^2","ha")</f>
        <v>1.0625518</v>
      </c>
      <c r="K849" s="0" t="n">
        <f aca="false">IF(J849&gt;(I849*2),((ROUNDDOWN(J849/I849,0))-1))</f>
        <v>1</v>
      </c>
    </row>
    <row r="850" customFormat="false" ht="12.75" hidden="false" customHeight="false" outlineLevel="0" collapsed="false">
      <c r="A850" s="5" t="n">
        <v>1383</v>
      </c>
      <c r="B850" s="6" t="s">
        <v>2487</v>
      </c>
      <c r="C850" s="6" t="s">
        <v>12</v>
      </c>
      <c r="D850" s="6" t="s">
        <v>2488</v>
      </c>
      <c r="E850" s="6" t="s">
        <v>14</v>
      </c>
      <c r="F850" s="6" t="n">
        <v>1008.056961075</v>
      </c>
      <c r="G850" s="6" t="n">
        <v>1007.272</v>
      </c>
      <c r="H850" s="6" t="s">
        <v>792</v>
      </c>
      <c r="I850" s="0" t="n">
        <v>0.4</v>
      </c>
      <c r="J850" s="0" t="n">
        <f aca="false">CONVERT(G850,"m^2","ha")</f>
        <v>0.1007272</v>
      </c>
      <c r="K850" s="0" t="b">
        <f aca="false">IF(J850&gt;(I850*2),((ROUNDDOWN(J850/I850,0))-1))</f>
        <v>0</v>
      </c>
    </row>
    <row r="851" customFormat="false" ht="12.75" hidden="false" customHeight="false" outlineLevel="0" collapsed="false">
      <c r="A851" s="5" t="n">
        <v>1384</v>
      </c>
      <c r="B851" s="6" t="s">
        <v>2489</v>
      </c>
      <c r="C851" s="6" t="s">
        <v>12</v>
      </c>
      <c r="D851" s="6" t="s">
        <v>2490</v>
      </c>
      <c r="E851" s="6" t="s">
        <v>14</v>
      </c>
      <c r="F851" s="6" t="n">
        <v>787.694370015</v>
      </c>
      <c r="G851" s="6" t="n">
        <v>787.694</v>
      </c>
      <c r="H851" s="6" t="s">
        <v>792</v>
      </c>
      <c r="I851" s="0" t="n">
        <v>0.4</v>
      </c>
      <c r="J851" s="0" t="n">
        <f aca="false">CONVERT(G851,"m^2","ha")</f>
        <v>0.0787694</v>
      </c>
      <c r="K851" s="0" t="b">
        <f aca="false">IF(J851&gt;(I851*2),((ROUNDDOWN(J851/I851,0))-1))</f>
        <v>0</v>
      </c>
    </row>
    <row r="852" customFormat="false" ht="12.75" hidden="false" customHeight="false" outlineLevel="0" collapsed="false">
      <c r="A852" s="5" t="n">
        <v>1385</v>
      </c>
      <c r="B852" s="6" t="s">
        <v>2491</v>
      </c>
      <c r="C852" s="6" t="s">
        <v>12</v>
      </c>
      <c r="D852" s="6" t="s">
        <v>2492</v>
      </c>
      <c r="E852" s="6" t="s">
        <v>14</v>
      </c>
      <c r="F852" s="6" t="n">
        <v>825.910392945</v>
      </c>
      <c r="G852" s="6" t="n">
        <v>825.91</v>
      </c>
      <c r="H852" s="6" t="s">
        <v>792</v>
      </c>
      <c r="I852" s="0" t="n">
        <v>0.4</v>
      </c>
      <c r="J852" s="0" t="n">
        <f aca="false">CONVERT(G852,"m^2","ha")</f>
        <v>0.082591</v>
      </c>
      <c r="K852" s="0" t="b">
        <f aca="false">IF(J852&gt;(I852*2),((ROUNDDOWN(J852/I852,0))-1))</f>
        <v>0</v>
      </c>
    </row>
    <row r="853" customFormat="false" ht="12.75" hidden="false" customHeight="false" outlineLevel="0" collapsed="false">
      <c r="A853" s="5" t="n">
        <v>1393</v>
      </c>
      <c r="B853" s="6" t="s">
        <v>2493</v>
      </c>
      <c r="C853" s="6" t="s">
        <v>12</v>
      </c>
      <c r="D853" s="6" t="s">
        <v>2494</v>
      </c>
      <c r="E853" s="6" t="s">
        <v>14</v>
      </c>
      <c r="F853" s="6" t="n">
        <v>2436.05883311</v>
      </c>
      <c r="G853" s="6" t="n">
        <v>2436.059</v>
      </c>
      <c r="H853" s="6" t="s">
        <v>792</v>
      </c>
      <c r="I853" s="0" t="n">
        <v>0.4</v>
      </c>
      <c r="J853" s="0" t="n">
        <f aca="false">CONVERT(G853,"m^2","ha")</f>
        <v>0.2436059</v>
      </c>
      <c r="K853" s="0" t="b">
        <f aca="false">IF(J853&gt;(I853*2),((ROUNDDOWN(J853/I853,0))-1))</f>
        <v>0</v>
      </c>
    </row>
    <row r="854" customFormat="false" ht="12.75" hidden="false" customHeight="false" outlineLevel="0" collapsed="false">
      <c r="A854" s="5" t="n">
        <v>1394</v>
      </c>
      <c r="B854" s="6" t="s">
        <v>2495</v>
      </c>
      <c r="C854" s="6" t="s">
        <v>89</v>
      </c>
      <c r="D854" s="6" t="s">
        <v>2496</v>
      </c>
      <c r="E854" s="6" t="s">
        <v>14</v>
      </c>
      <c r="F854" s="6" t="n">
        <v>19487.85966544</v>
      </c>
      <c r="G854" s="6" t="n">
        <v>19487.86</v>
      </c>
      <c r="H854" s="6" t="s">
        <v>792</v>
      </c>
      <c r="I854" s="0" t="n">
        <v>0.4</v>
      </c>
      <c r="J854" s="0" t="n">
        <f aca="false">CONVERT(G854,"m^2","ha")</f>
        <v>1.948786</v>
      </c>
      <c r="K854" s="0" t="n">
        <f aca="false">IF(J854&gt;(I854*2),((ROUNDDOWN(J854/I854,0))-1))</f>
        <v>3</v>
      </c>
    </row>
    <row r="855" customFormat="false" ht="12.75" hidden="false" customHeight="false" outlineLevel="0" collapsed="false">
      <c r="A855" s="5" t="n">
        <v>1395</v>
      </c>
      <c r="B855" s="6" t="s">
        <v>2497</v>
      </c>
      <c r="C855" s="6" t="s">
        <v>89</v>
      </c>
      <c r="D855" s="6" t="s">
        <v>2498</v>
      </c>
      <c r="E855" s="6" t="s">
        <v>14</v>
      </c>
      <c r="F855" s="6" t="n">
        <v>1953.90047085</v>
      </c>
      <c r="G855" s="6" t="n">
        <v>1953.9</v>
      </c>
      <c r="H855" s="6" t="s">
        <v>792</v>
      </c>
      <c r="I855" s="0" t="n">
        <v>0.4</v>
      </c>
      <c r="J855" s="0" t="n">
        <f aca="false">CONVERT(G855,"m^2","ha")</f>
        <v>0.19539</v>
      </c>
      <c r="K855" s="0" t="b">
        <f aca="false">IF(J855&gt;(I855*2),((ROUNDDOWN(J855/I855,0))-1))</f>
        <v>0</v>
      </c>
    </row>
    <row r="856" customFormat="false" ht="12.75" hidden="false" customHeight="false" outlineLevel="0" collapsed="false">
      <c r="A856" s="5" t="n">
        <v>1396</v>
      </c>
      <c r="B856" s="6" t="s">
        <v>2499</v>
      </c>
      <c r="C856" s="6" t="s">
        <v>12</v>
      </c>
      <c r="D856" s="6" t="s">
        <v>2500</v>
      </c>
      <c r="E856" s="6" t="s">
        <v>14</v>
      </c>
      <c r="F856" s="6" t="n">
        <v>4050.14381295</v>
      </c>
      <c r="G856" s="6" t="n">
        <v>4050.144</v>
      </c>
      <c r="H856" s="6" t="s">
        <v>792</v>
      </c>
      <c r="I856" s="0" t="n">
        <v>0.4</v>
      </c>
      <c r="J856" s="0" t="n">
        <f aca="false">CONVERT(G856,"m^2","ha")</f>
        <v>0.4050144</v>
      </c>
      <c r="K856" s="0" t="b">
        <f aca="false">IF(J856&gt;(I856*2),((ROUNDDOWN(J856/I856,0))-1))</f>
        <v>0</v>
      </c>
    </row>
    <row r="857" customFormat="false" ht="12.75" hidden="false" customHeight="false" outlineLevel="0" collapsed="false">
      <c r="A857" s="5" t="n">
        <v>1403</v>
      </c>
      <c r="B857" s="6" t="s">
        <v>2501</v>
      </c>
      <c r="C857" s="6" t="s">
        <v>12</v>
      </c>
      <c r="D857" s="6" t="s">
        <v>2502</v>
      </c>
      <c r="E857" s="6" t="s">
        <v>14</v>
      </c>
      <c r="F857" s="6" t="n">
        <v>1482.68791689</v>
      </c>
      <c r="G857" s="6" t="n">
        <v>1482.688</v>
      </c>
      <c r="H857" s="6" t="s">
        <v>792</v>
      </c>
      <c r="I857" s="0" t="n">
        <v>0.4</v>
      </c>
      <c r="J857" s="0" t="n">
        <f aca="false">CONVERT(G857,"m^2","ha")</f>
        <v>0.1482688</v>
      </c>
      <c r="K857" s="0" t="b">
        <f aca="false">IF(J857&gt;(I857*2),((ROUNDDOWN(J857/I857,0))-1))</f>
        <v>0</v>
      </c>
    </row>
    <row r="858" customFormat="false" ht="12.75" hidden="false" customHeight="false" outlineLevel="0" collapsed="false">
      <c r="A858" s="5" t="n">
        <v>1405</v>
      </c>
      <c r="B858" s="6" t="s">
        <v>2503</v>
      </c>
      <c r="C858" s="6" t="s">
        <v>12</v>
      </c>
      <c r="D858" s="6" t="s">
        <v>2504</v>
      </c>
      <c r="E858" s="6" t="s">
        <v>14</v>
      </c>
      <c r="F858" s="6" t="n">
        <v>1266.530763675</v>
      </c>
      <c r="G858" s="6" t="n">
        <v>1266.654</v>
      </c>
      <c r="H858" s="6" t="s">
        <v>792</v>
      </c>
      <c r="I858" s="0" t="n">
        <v>0.4</v>
      </c>
      <c r="J858" s="0" t="n">
        <f aca="false">CONVERT(G858,"m^2","ha")</f>
        <v>0.1266654</v>
      </c>
      <c r="K858" s="0" t="b">
        <f aca="false">IF(J858&gt;(I858*2),((ROUNDDOWN(J858/I858,0))-1))</f>
        <v>0</v>
      </c>
    </row>
    <row r="859" customFormat="false" ht="12.75" hidden="false" customHeight="false" outlineLevel="0" collapsed="false">
      <c r="A859" s="5" t="n">
        <v>1406</v>
      </c>
      <c r="B859" s="6" t="s">
        <v>2505</v>
      </c>
      <c r="C859" s="6" t="s">
        <v>12</v>
      </c>
      <c r="D859" s="6" t="s">
        <v>2506</v>
      </c>
      <c r="E859" s="6" t="s">
        <v>14</v>
      </c>
      <c r="F859" s="6" t="n">
        <v>2558.592172345</v>
      </c>
      <c r="G859" s="6" t="n">
        <v>2558.592</v>
      </c>
      <c r="H859" s="6" t="s">
        <v>792</v>
      </c>
      <c r="I859" s="0" t="n">
        <v>0.4</v>
      </c>
      <c r="J859" s="0" t="n">
        <f aca="false">CONVERT(G859,"m^2","ha")</f>
        <v>0.2558592</v>
      </c>
      <c r="K859" s="0" t="b">
        <f aca="false">IF(J859&gt;(I859*2),((ROUNDDOWN(J859/I859,0))-1))</f>
        <v>0</v>
      </c>
    </row>
    <row r="860" customFormat="false" ht="12.75" hidden="false" customHeight="false" outlineLevel="0" collapsed="false">
      <c r="A860" s="5" t="n">
        <v>1407</v>
      </c>
      <c r="B860" s="6" t="s">
        <v>2507</v>
      </c>
      <c r="C860" s="6" t="s">
        <v>12</v>
      </c>
      <c r="D860" s="6" t="s">
        <v>2508</v>
      </c>
      <c r="E860" s="6" t="s">
        <v>14</v>
      </c>
      <c r="F860" s="6" t="n">
        <v>2355.170520275</v>
      </c>
      <c r="G860" s="6" t="n">
        <v>2355.171</v>
      </c>
      <c r="H860" s="6" t="s">
        <v>792</v>
      </c>
      <c r="I860" s="0" t="n">
        <v>0.4</v>
      </c>
      <c r="J860" s="0" t="n">
        <f aca="false">CONVERT(G860,"m^2","ha")</f>
        <v>0.2355171</v>
      </c>
      <c r="K860" s="0" t="b">
        <f aca="false">IF(J860&gt;(I860*2),((ROUNDDOWN(J860/I860,0))-1))</f>
        <v>0</v>
      </c>
    </row>
    <row r="861" customFormat="false" ht="12.75" hidden="false" customHeight="false" outlineLevel="0" collapsed="false">
      <c r="A861" s="5" t="n">
        <v>1408</v>
      </c>
      <c r="B861" s="6" t="s">
        <v>2509</v>
      </c>
      <c r="C861" s="6" t="s">
        <v>12</v>
      </c>
      <c r="D861" s="6" t="s">
        <v>2510</v>
      </c>
      <c r="E861" s="6" t="s">
        <v>14</v>
      </c>
      <c r="F861" s="6" t="n">
        <v>2546.182217415</v>
      </c>
      <c r="G861" s="6" t="n">
        <v>2546.273</v>
      </c>
      <c r="H861" s="6" t="s">
        <v>792</v>
      </c>
      <c r="I861" s="0" t="n">
        <v>0.4</v>
      </c>
      <c r="J861" s="0" t="n">
        <f aca="false">CONVERT(G861,"m^2","ha")</f>
        <v>0.2546273</v>
      </c>
      <c r="K861" s="0" t="b">
        <f aca="false">IF(J861&gt;(I861*2),((ROUNDDOWN(J861/I861,0))-1))</f>
        <v>0</v>
      </c>
    </row>
    <row r="862" customFormat="false" ht="12.75" hidden="false" customHeight="false" outlineLevel="0" collapsed="false">
      <c r="A862" s="5" t="n">
        <v>1409</v>
      </c>
      <c r="B862" s="6" t="s">
        <v>2511</v>
      </c>
      <c r="C862" s="6" t="s">
        <v>12</v>
      </c>
      <c r="D862" s="6" t="s">
        <v>2512</v>
      </c>
      <c r="E862" s="6" t="s">
        <v>14</v>
      </c>
      <c r="F862" s="6" t="n">
        <v>1382.779349845</v>
      </c>
      <c r="G862" s="6" t="n">
        <v>1382.779</v>
      </c>
      <c r="H862" s="6" t="s">
        <v>792</v>
      </c>
      <c r="I862" s="0" t="n">
        <v>0.4</v>
      </c>
      <c r="J862" s="0" t="n">
        <f aca="false">CONVERT(G862,"m^2","ha")</f>
        <v>0.1382779</v>
      </c>
      <c r="K862" s="0" t="b">
        <f aca="false">IF(J862&gt;(I862*2),((ROUNDDOWN(J862/I862,0))-1))</f>
        <v>0</v>
      </c>
    </row>
    <row r="863" customFormat="false" ht="12.75" hidden="false" customHeight="false" outlineLevel="0" collapsed="false">
      <c r="A863" s="5" t="n">
        <v>1410</v>
      </c>
      <c r="B863" s="6" t="s">
        <v>2513</v>
      </c>
      <c r="C863" s="6" t="s">
        <v>12</v>
      </c>
      <c r="D863" s="6" t="s">
        <v>2514</v>
      </c>
      <c r="E863" s="6" t="s">
        <v>14</v>
      </c>
      <c r="F863" s="6" t="n">
        <v>2252.53152392</v>
      </c>
      <c r="G863" s="6" t="n">
        <v>2252.532</v>
      </c>
      <c r="H863" s="6" t="s">
        <v>792</v>
      </c>
      <c r="I863" s="0" t="n">
        <v>0.4</v>
      </c>
      <c r="J863" s="0" t="n">
        <f aca="false">CONVERT(G863,"m^2","ha")</f>
        <v>0.2252532</v>
      </c>
      <c r="K863" s="0" t="b">
        <f aca="false">IF(J863&gt;(I863*2),((ROUNDDOWN(J863/I863,0))-1))</f>
        <v>0</v>
      </c>
    </row>
    <row r="864" customFormat="false" ht="12.75" hidden="false" customHeight="false" outlineLevel="0" collapsed="false">
      <c r="A864" s="5" t="n">
        <v>1411</v>
      </c>
      <c r="B864" s="6" t="s">
        <v>2515</v>
      </c>
      <c r="C864" s="6" t="s">
        <v>12</v>
      </c>
      <c r="D864" s="6" t="s">
        <v>2516</v>
      </c>
      <c r="E864" s="6" t="s">
        <v>14</v>
      </c>
      <c r="F864" s="6" t="n">
        <v>2609.19770788</v>
      </c>
      <c r="G864" s="6" t="n">
        <v>2609.198</v>
      </c>
      <c r="H864" s="6" t="s">
        <v>792</v>
      </c>
      <c r="I864" s="0" t="n">
        <v>0.4</v>
      </c>
      <c r="J864" s="0" t="n">
        <f aca="false">CONVERT(G864,"m^2","ha")</f>
        <v>0.2609198</v>
      </c>
      <c r="K864" s="0" t="b">
        <f aca="false">IF(J864&gt;(I864*2),((ROUNDDOWN(J864/I864,0))-1))</f>
        <v>0</v>
      </c>
    </row>
    <row r="865" customFormat="false" ht="12.75" hidden="false" customHeight="false" outlineLevel="0" collapsed="false">
      <c r="A865" s="5" t="n">
        <v>1412</v>
      </c>
      <c r="B865" s="6" t="s">
        <v>2517</v>
      </c>
      <c r="C865" s="6" t="s">
        <v>12</v>
      </c>
      <c r="D865" s="6" t="s">
        <v>2518</v>
      </c>
      <c r="E865" s="6" t="s">
        <v>14</v>
      </c>
      <c r="F865" s="6" t="n">
        <v>1999.39669871</v>
      </c>
      <c r="G865" s="6" t="n">
        <v>1999.397</v>
      </c>
      <c r="H865" s="6" t="s">
        <v>792</v>
      </c>
      <c r="I865" s="0" t="n">
        <v>0.4</v>
      </c>
      <c r="J865" s="0" t="n">
        <f aca="false">CONVERT(G865,"m^2","ha")</f>
        <v>0.1999397</v>
      </c>
      <c r="K865" s="0" t="b">
        <f aca="false">IF(J865&gt;(I865*2),((ROUNDDOWN(J865/I865,0))-1))</f>
        <v>0</v>
      </c>
    </row>
    <row r="866" customFormat="false" ht="12.75" hidden="false" customHeight="false" outlineLevel="0" collapsed="false">
      <c r="A866" s="5" t="n">
        <v>1429</v>
      </c>
      <c r="B866" s="6" t="s">
        <v>2519</v>
      </c>
      <c r="C866" s="6" t="s">
        <v>12</v>
      </c>
      <c r="D866" s="6" t="s">
        <v>2520</v>
      </c>
      <c r="E866" s="6" t="s">
        <v>14</v>
      </c>
      <c r="F866" s="6" t="n">
        <v>3724.23149173</v>
      </c>
      <c r="G866" s="6" t="n">
        <v>3724.042</v>
      </c>
      <c r="H866" s="6" t="s">
        <v>792</v>
      </c>
      <c r="I866" s="0" t="n">
        <v>0.4</v>
      </c>
      <c r="J866" s="0" t="n">
        <f aca="false">CONVERT(G866,"m^2","ha")</f>
        <v>0.3724042</v>
      </c>
      <c r="K866" s="0" t="b">
        <f aca="false">IF(J866&gt;(I866*2),((ROUNDDOWN(J866/I866,0))-1))</f>
        <v>0</v>
      </c>
    </row>
    <row r="867" customFormat="false" ht="12.75" hidden="false" customHeight="false" outlineLevel="0" collapsed="false">
      <c r="A867" s="5" t="n">
        <v>1431</v>
      </c>
      <c r="B867" s="6" t="s">
        <v>2521</v>
      </c>
      <c r="C867" s="6" t="s">
        <v>12</v>
      </c>
      <c r="D867" s="6" t="s">
        <v>2522</v>
      </c>
      <c r="E867" s="6" t="s">
        <v>14</v>
      </c>
      <c r="F867" s="6" t="n">
        <v>1878.56853738</v>
      </c>
      <c r="G867" s="6" t="n">
        <v>1878.569</v>
      </c>
      <c r="H867" s="6" t="s">
        <v>792</v>
      </c>
      <c r="I867" s="0" t="n">
        <v>0.4</v>
      </c>
      <c r="J867" s="0" t="n">
        <f aca="false">CONVERT(G867,"m^2","ha")</f>
        <v>0.1878569</v>
      </c>
      <c r="K867" s="0" t="b">
        <f aca="false">IF(J867&gt;(I867*2),((ROUNDDOWN(J867/I867,0))-1))</f>
        <v>0</v>
      </c>
    </row>
    <row r="868" customFormat="false" ht="12.75" hidden="false" customHeight="false" outlineLevel="0" collapsed="false">
      <c r="A868" s="5" t="n">
        <v>1432</v>
      </c>
      <c r="B868" s="6" t="s">
        <v>2523</v>
      </c>
      <c r="C868" s="6" t="s">
        <v>12</v>
      </c>
      <c r="D868" s="6" t="s">
        <v>2524</v>
      </c>
      <c r="E868" s="6" t="s">
        <v>14</v>
      </c>
      <c r="F868" s="6" t="n">
        <v>1619.07689786</v>
      </c>
      <c r="G868" s="6" t="n">
        <v>1619.077</v>
      </c>
      <c r="H868" s="6" t="s">
        <v>792</v>
      </c>
      <c r="I868" s="0" t="n">
        <v>0.4</v>
      </c>
      <c r="J868" s="0" t="n">
        <f aca="false">CONVERT(G868,"m^2","ha")</f>
        <v>0.1619077</v>
      </c>
      <c r="K868" s="0" t="b">
        <f aca="false">IF(J868&gt;(I868*2),((ROUNDDOWN(J868/I868,0))-1))</f>
        <v>0</v>
      </c>
    </row>
    <row r="869" customFormat="false" ht="12.75" hidden="false" customHeight="false" outlineLevel="0" collapsed="false">
      <c r="A869" s="5" t="n">
        <v>1433</v>
      </c>
      <c r="B869" s="6" t="s">
        <v>2525</v>
      </c>
      <c r="C869" s="6" t="s">
        <v>12</v>
      </c>
      <c r="D869" s="6" t="s">
        <v>2526</v>
      </c>
      <c r="E869" s="6" t="s">
        <v>14</v>
      </c>
      <c r="F869" s="6" t="n">
        <v>899.9804363</v>
      </c>
      <c r="G869" s="6" t="n">
        <v>899.98</v>
      </c>
      <c r="H869" s="6" t="s">
        <v>792</v>
      </c>
      <c r="I869" s="0" t="n">
        <v>0.4</v>
      </c>
      <c r="J869" s="0" t="n">
        <f aca="false">CONVERT(G869,"m^2","ha")</f>
        <v>0.089998</v>
      </c>
      <c r="K869" s="0" t="b">
        <f aca="false">IF(J869&gt;(I869*2),((ROUNDDOWN(J869/I869,0))-1))</f>
        <v>0</v>
      </c>
    </row>
    <row r="870" customFormat="false" ht="12.75" hidden="false" customHeight="false" outlineLevel="0" collapsed="false">
      <c r="A870" s="5" t="n">
        <v>1434</v>
      </c>
      <c r="B870" s="6" t="s">
        <v>2527</v>
      </c>
      <c r="C870" s="6" t="s">
        <v>12</v>
      </c>
      <c r="D870" s="6" t="s">
        <v>2528</v>
      </c>
      <c r="E870" s="6" t="s">
        <v>14</v>
      </c>
      <c r="F870" s="6" t="n">
        <v>1914.51173064</v>
      </c>
      <c r="G870" s="6" t="n">
        <v>1914.512</v>
      </c>
      <c r="H870" s="6" t="s">
        <v>792</v>
      </c>
      <c r="I870" s="0" t="n">
        <v>0.4</v>
      </c>
      <c r="J870" s="0" t="n">
        <f aca="false">CONVERT(G870,"m^2","ha")</f>
        <v>0.1914512</v>
      </c>
      <c r="K870" s="0" t="b">
        <f aca="false">IF(J870&gt;(I870*2),((ROUNDDOWN(J870/I870,0))-1))</f>
        <v>0</v>
      </c>
    </row>
    <row r="871" customFormat="false" ht="12.75" hidden="false" customHeight="false" outlineLevel="0" collapsed="false">
      <c r="A871" s="5" t="n">
        <v>1435</v>
      </c>
      <c r="B871" s="6" t="s">
        <v>2529</v>
      </c>
      <c r="C871" s="6" t="s">
        <v>12</v>
      </c>
      <c r="D871" s="6" t="s">
        <v>2530</v>
      </c>
      <c r="E871" s="6" t="s">
        <v>14</v>
      </c>
      <c r="F871" s="6" t="n">
        <v>795.768123865</v>
      </c>
      <c r="G871" s="6" t="n">
        <v>795.768</v>
      </c>
      <c r="H871" s="6" t="s">
        <v>792</v>
      </c>
      <c r="I871" s="0" t="n">
        <v>0.4</v>
      </c>
      <c r="J871" s="0" t="n">
        <f aca="false">CONVERT(G871,"m^2","ha")</f>
        <v>0.0795768</v>
      </c>
      <c r="K871" s="0" t="b">
        <f aca="false">IF(J871&gt;(I871*2),((ROUNDDOWN(J871/I871,0))-1))</f>
        <v>0</v>
      </c>
    </row>
    <row r="872" customFormat="false" ht="12.75" hidden="false" customHeight="false" outlineLevel="0" collapsed="false">
      <c r="A872" s="5" t="n">
        <v>1436</v>
      </c>
      <c r="B872" s="6" t="s">
        <v>2531</v>
      </c>
      <c r="C872" s="6" t="s">
        <v>12</v>
      </c>
      <c r="D872" s="6" t="s">
        <v>2532</v>
      </c>
      <c r="E872" s="6" t="s">
        <v>14</v>
      </c>
      <c r="F872" s="6" t="n">
        <v>5680.485787125</v>
      </c>
      <c r="G872" s="6" t="n">
        <v>5680.486</v>
      </c>
      <c r="H872" s="6" t="s">
        <v>792</v>
      </c>
      <c r="I872" s="0" t="n">
        <v>0.4</v>
      </c>
      <c r="J872" s="0" t="n">
        <f aca="false">CONVERT(G872,"m^2","ha")</f>
        <v>0.5680486</v>
      </c>
      <c r="K872" s="0" t="b">
        <f aca="false">IF(J872&gt;(I872*2),((ROUNDDOWN(J872/I872,0))-1))</f>
        <v>0</v>
      </c>
    </row>
    <row r="873" customFormat="false" ht="12.75" hidden="false" customHeight="false" outlineLevel="0" collapsed="false">
      <c r="A873" s="5" t="n">
        <v>1437</v>
      </c>
      <c r="B873" s="6" t="s">
        <v>2533</v>
      </c>
      <c r="C873" s="6" t="s">
        <v>12</v>
      </c>
      <c r="D873" s="6" t="s">
        <v>2534</v>
      </c>
      <c r="E873" s="6" t="s">
        <v>14</v>
      </c>
      <c r="F873" s="6" t="n">
        <v>1013.93935523</v>
      </c>
      <c r="G873" s="6" t="n">
        <v>1013.939</v>
      </c>
      <c r="H873" s="6" t="s">
        <v>792</v>
      </c>
      <c r="I873" s="0" t="n">
        <v>0.4</v>
      </c>
      <c r="J873" s="0" t="n">
        <f aca="false">CONVERT(G873,"m^2","ha")</f>
        <v>0.1013939</v>
      </c>
      <c r="K873" s="0" t="b">
        <f aca="false">IF(J873&gt;(I873*2),((ROUNDDOWN(J873/I873,0))-1))</f>
        <v>0</v>
      </c>
    </row>
    <row r="874" customFormat="false" ht="12.75" hidden="false" customHeight="false" outlineLevel="0" collapsed="false">
      <c r="A874" s="5" t="n">
        <v>1438</v>
      </c>
      <c r="B874" s="6" t="s">
        <v>2535</v>
      </c>
      <c r="C874" s="6" t="s">
        <v>12</v>
      </c>
      <c r="D874" s="6" t="s">
        <v>2536</v>
      </c>
      <c r="E874" s="6" t="s">
        <v>14</v>
      </c>
      <c r="F874" s="6" t="n">
        <v>707.178975425</v>
      </c>
      <c r="G874" s="6" t="n">
        <v>707.179</v>
      </c>
      <c r="H874" s="6" t="s">
        <v>792</v>
      </c>
      <c r="I874" s="0" t="n">
        <v>0.4</v>
      </c>
      <c r="J874" s="0" t="n">
        <f aca="false">CONVERT(G874,"m^2","ha")</f>
        <v>0.0707179</v>
      </c>
      <c r="K874" s="0" t="b">
        <f aca="false">IF(J874&gt;(I874*2),((ROUNDDOWN(J874/I874,0))-1))</f>
        <v>0</v>
      </c>
    </row>
    <row r="875" customFormat="false" ht="12.75" hidden="false" customHeight="false" outlineLevel="0" collapsed="false">
      <c r="A875" s="5" t="n">
        <v>1439</v>
      </c>
      <c r="B875" s="6" t="s">
        <v>2537</v>
      </c>
      <c r="C875" s="6" t="s">
        <v>12</v>
      </c>
      <c r="D875" s="6" t="s">
        <v>2538</v>
      </c>
      <c r="E875" s="6" t="s">
        <v>14</v>
      </c>
      <c r="F875" s="6" t="n">
        <v>996.02648602</v>
      </c>
      <c r="G875" s="6" t="n">
        <v>996.026</v>
      </c>
      <c r="H875" s="6" t="s">
        <v>792</v>
      </c>
      <c r="I875" s="0" t="n">
        <v>0.4</v>
      </c>
      <c r="J875" s="0" t="n">
        <f aca="false">CONVERT(G875,"m^2","ha")</f>
        <v>0.0996026</v>
      </c>
      <c r="K875" s="0" t="b">
        <f aca="false">IF(J875&gt;(I875*2),((ROUNDDOWN(J875/I875,0))-1))</f>
        <v>0</v>
      </c>
    </row>
    <row r="876" customFormat="false" ht="12.75" hidden="false" customHeight="false" outlineLevel="0" collapsed="false">
      <c r="A876" s="5" t="n">
        <v>1440</v>
      </c>
      <c r="B876" s="6" t="s">
        <v>2539</v>
      </c>
      <c r="C876" s="6" t="s">
        <v>12</v>
      </c>
      <c r="D876" s="6" t="s">
        <v>2540</v>
      </c>
      <c r="E876" s="6" t="s">
        <v>14</v>
      </c>
      <c r="F876" s="6" t="n">
        <v>773.56476427</v>
      </c>
      <c r="G876" s="6" t="n">
        <v>773.565</v>
      </c>
      <c r="H876" s="6" t="s">
        <v>792</v>
      </c>
      <c r="I876" s="0" t="n">
        <v>0.4</v>
      </c>
      <c r="J876" s="0" t="n">
        <f aca="false">CONVERT(G876,"m^2","ha")</f>
        <v>0.0773565</v>
      </c>
      <c r="K876" s="0" t="b">
        <f aca="false">IF(J876&gt;(I876*2),((ROUNDDOWN(J876/I876,0))-1))</f>
        <v>0</v>
      </c>
    </row>
    <row r="877" customFormat="false" ht="12.75" hidden="false" customHeight="false" outlineLevel="0" collapsed="false">
      <c r="A877" s="5" t="n">
        <v>1441</v>
      </c>
      <c r="B877" s="6" t="s">
        <v>2541</v>
      </c>
      <c r="C877" s="6" t="s">
        <v>12</v>
      </c>
      <c r="D877" s="6" t="s">
        <v>2542</v>
      </c>
      <c r="E877" s="6" t="s">
        <v>14</v>
      </c>
      <c r="F877" s="6" t="n">
        <v>1288.698306305</v>
      </c>
      <c r="G877" s="6" t="n">
        <v>1288.698</v>
      </c>
      <c r="H877" s="6" t="s">
        <v>792</v>
      </c>
      <c r="I877" s="0" t="n">
        <v>0.4</v>
      </c>
      <c r="J877" s="0" t="n">
        <f aca="false">CONVERT(G877,"m^2","ha")</f>
        <v>0.1288698</v>
      </c>
      <c r="K877" s="0" t="b">
        <f aca="false">IF(J877&gt;(I877*2),((ROUNDDOWN(J877/I877,0))-1))</f>
        <v>0</v>
      </c>
    </row>
    <row r="878" customFormat="false" ht="12.75" hidden="false" customHeight="false" outlineLevel="0" collapsed="false">
      <c r="A878" s="5" t="n">
        <v>1442</v>
      </c>
      <c r="B878" s="6" t="s">
        <v>2543</v>
      </c>
      <c r="C878" s="6" t="s">
        <v>12</v>
      </c>
      <c r="D878" s="6" t="s">
        <v>2544</v>
      </c>
      <c r="E878" s="6" t="s">
        <v>14</v>
      </c>
      <c r="F878" s="6" t="n">
        <v>2502.193753845</v>
      </c>
      <c r="G878" s="6" t="n">
        <v>2502.194</v>
      </c>
      <c r="H878" s="6" t="s">
        <v>792</v>
      </c>
      <c r="I878" s="0" t="n">
        <v>0.4</v>
      </c>
      <c r="J878" s="0" t="n">
        <f aca="false">CONVERT(G878,"m^2","ha")</f>
        <v>0.2502194</v>
      </c>
      <c r="K878" s="0" t="b">
        <f aca="false">IF(J878&gt;(I878*2),((ROUNDDOWN(J878/I878,0))-1))</f>
        <v>0</v>
      </c>
    </row>
    <row r="879" customFormat="false" ht="12.75" hidden="false" customHeight="false" outlineLevel="0" collapsed="false">
      <c r="A879" s="5" t="n">
        <v>1443</v>
      </c>
      <c r="B879" s="6" t="s">
        <v>2545</v>
      </c>
      <c r="C879" s="6" t="s">
        <v>12</v>
      </c>
      <c r="D879" s="6" t="s">
        <v>2546</v>
      </c>
      <c r="E879" s="6" t="s">
        <v>14</v>
      </c>
      <c r="F879" s="6" t="n">
        <v>975.54995644</v>
      </c>
      <c r="G879" s="6" t="n">
        <v>975.55</v>
      </c>
      <c r="H879" s="6" t="s">
        <v>792</v>
      </c>
      <c r="I879" s="0" t="n">
        <v>0.4</v>
      </c>
      <c r="J879" s="0" t="n">
        <f aca="false">CONVERT(G879,"m^2","ha")</f>
        <v>0.097555</v>
      </c>
      <c r="K879" s="0" t="b">
        <f aca="false">IF(J879&gt;(I879*2),((ROUNDDOWN(J879/I879,0))-1))</f>
        <v>0</v>
      </c>
    </row>
    <row r="880" customFormat="false" ht="12.75" hidden="false" customHeight="false" outlineLevel="0" collapsed="false">
      <c r="A880" s="5" t="n">
        <v>1444</v>
      </c>
      <c r="B880" s="6" t="s">
        <v>2547</v>
      </c>
      <c r="C880" s="6" t="s">
        <v>12</v>
      </c>
      <c r="D880" s="6" t="s">
        <v>2548</v>
      </c>
      <c r="E880" s="6" t="s">
        <v>14</v>
      </c>
      <c r="F880" s="6" t="n">
        <v>1034.04252313</v>
      </c>
      <c r="G880" s="6" t="n">
        <v>1034.043</v>
      </c>
      <c r="H880" s="6" t="s">
        <v>792</v>
      </c>
      <c r="I880" s="0" t="n">
        <v>0.4</v>
      </c>
      <c r="J880" s="0" t="n">
        <f aca="false">CONVERT(G880,"m^2","ha")</f>
        <v>0.1034043</v>
      </c>
      <c r="K880" s="0" t="b">
        <f aca="false">IF(J880&gt;(I880*2),((ROUNDDOWN(J880/I880,0))-1))</f>
        <v>0</v>
      </c>
    </row>
    <row r="881" customFormat="false" ht="12.75" hidden="false" customHeight="false" outlineLevel="0" collapsed="false">
      <c r="A881" s="5" t="n">
        <v>1445</v>
      </c>
      <c r="B881" s="6" t="s">
        <v>2549</v>
      </c>
      <c r="C881" s="6" t="s">
        <v>12</v>
      </c>
      <c r="D881" s="6" t="s">
        <v>2550</v>
      </c>
      <c r="E881" s="6" t="s">
        <v>14</v>
      </c>
      <c r="F881" s="6" t="n">
        <v>1006.17775076</v>
      </c>
      <c r="G881" s="6" t="n">
        <v>1006.178</v>
      </c>
      <c r="H881" s="6" t="s">
        <v>792</v>
      </c>
      <c r="I881" s="0" t="n">
        <v>0.4</v>
      </c>
      <c r="J881" s="0" t="n">
        <f aca="false">CONVERT(G881,"m^2","ha")</f>
        <v>0.1006178</v>
      </c>
      <c r="K881" s="0" t="b">
        <f aca="false">IF(J881&gt;(I881*2),((ROUNDDOWN(J881/I881,0))-1))</f>
        <v>0</v>
      </c>
    </row>
    <row r="882" customFormat="false" ht="12.75" hidden="false" customHeight="false" outlineLevel="0" collapsed="false">
      <c r="A882" s="5" t="n">
        <v>1446</v>
      </c>
      <c r="B882" s="6" t="s">
        <v>2551</v>
      </c>
      <c r="C882" s="6" t="s">
        <v>12</v>
      </c>
      <c r="D882" s="6" t="s">
        <v>2552</v>
      </c>
      <c r="E882" s="6" t="s">
        <v>14</v>
      </c>
      <c r="F882" s="6" t="n">
        <v>959.431577865</v>
      </c>
      <c r="G882" s="6" t="n">
        <v>959.432</v>
      </c>
      <c r="H882" s="6" t="s">
        <v>792</v>
      </c>
      <c r="I882" s="0" t="n">
        <v>0.4</v>
      </c>
      <c r="J882" s="0" t="n">
        <f aca="false">CONVERT(G882,"m^2","ha")</f>
        <v>0.0959432</v>
      </c>
      <c r="K882" s="0" t="b">
        <f aca="false">IF(J882&gt;(I882*2),((ROUNDDOWN(J882/I882,0))-1))</f>
        <v>0</v>
      </c>
    </row>
    <row r="883" customFormat="false" ht="12.75" hidden="false" customHeight="false" outlineLevel="0" collapsed="false">
      <c r="A883" s="5" t="n">
        <v>1474</v>
      </c>
      <c r="B883" s="6" t="s">
        <v>2553</v>
      </c>
      <c r="C883" s="6" t="s">
        <v>89</v>
      </c>
      <c r="D883" s="6" t="s">
        <v>2554</v>
      </c>
      <c r="E883" s="6" t="s">
        <v>14</v>
      </c>
      <c r="F883" s="6" t="n">
        <v>3266.900304865</v>
      </c>
      <c r="G883" s="6" t="n">
        <v>3266.9</v>
      </c>
      <c r="H883" s="6" t="s">
        <v>792</v>
      </c>
      <c r="I883" s="0" t="n">
        <v>0.4</v>
      </c>
      <c r="J883" s="0" t="n">
        <f aca="false">CONVERT(G883,"m^2","ha")</f>
        <v>0.32669</v>
      </c>
      <c r="K883" s="0" t="b">
        <f aca="false">IF(J883&gt;(I883*2),((ROUNDDOWN(J883/I883,0))-1))</f>
        <v>0</v>
      </c>
    </row>
    <row r="884" customFormat="false" ht="12.75" hidden="false" customHeight="false" outlineLevel="0" collapsed="false">
      <c r="A884" s="5" t="n">
        <v>1475</v>
      </c>
      <c r="B884" s="6" t="s">
        <v>2555</v>
      </c>
      <c r="C884" s="6" t="s">
        <v>89</v>
      </c>
      <c r="D884" s="6" t="s">
        <v>2556</v>
      </c>
      <c r="E884" s="6" t="s">
        <v>14</v>
      </c>
      <c r="F884" s="6" t="n">
        <v>2934.72584345</v>
      </c>
      <c r="G884" s="6" t="n">
        <v>2934.726</v>
      </c>
      <c r="H884" s="6" t="s">
        <v>792</v>
      </c>
      <c r="I884" s="0" t="n">
        <v>0.4</v>
      </c>
      <c r="J884" s="0" t="n">
        <f aca="false">CONVERT(G884,"m^2","ha")</f>
        <v>0.2934726</v>
      </c>
      <c r="K884" s="0" t="b">
        <f aca="false">IF(J884&gt;(I884*2),((ROUNDDOWN(J884/I884,0))-1))</f>
        <v>0</v>
      </c>
    </row>
    <row r="885" customFormat="false" ht="12.75" hidden="false" customHeight="false" outlineLevel="0" collapsed="false">
      <c r="A885" s="5" t="n">
        <v>1476</v>
      </c>
      <c r="B885" s="6" t="s">
        <v>2557</v>
      </c>
      <c r="C885" s="6" t="s">
        <v>12</v>
      </c>
      <c r="D885" s="6" t="s">
        <v>2558</v>
      </c>
      <c r="E885" s="6" t="s">
        <v>14</v>
      </c>
      <c r="F885" s="6" t="n">
        <v>10125.17618483</v>
      </c>
      <c r="G885" s="6" t="n">
        <v>10125.176</v>
      </c>
      <c r="H885" s="6" t="s">
        <v>792</v>
      </c>
      <c r="I885" s="0" t="n">
        <v>0.4</v>
      </c>
      <c r="J885" s="0" t="n">
        <f aca="false">CONVERT(G885,"m^2","ha")</f>
        <v>1.0125176</v>
      </c>
      <c r="K885" s="0" t="n">
        <f aca="false">IF(J885&gt;(I885*2),((ROUNDDOWN(J885/I885,0))-1))</f>
        <v>1</v>
      </c>
    </row>
    <row r="886" customFormat="false" ht="12.75" hidden="false" customHeight="false" outlineLevel="0" collapsed="false">
      <c r="A886" s="5" t="n">
        <v>1477</v>
      </c>
      <c r="B886" s="6" t="s">
        <v>2559</v>
      </c>
      <c r="C886" s="6" t="s">
        <v>12</v>
      </c>
      <c r="D886" s="6" t="s">
        <v>2560</v>
      </c>
      <c r="E886" s="6" t="s">
        <v>14</v>
      </c>
      <c r="F886" s="6" t="n">
        <v>30381.32203225</v>
      </c>
      <c r="G886" s="6" t="n">
        <v>30381.322</v>
      </c>
      <c r="H886" s="6" t="s">
        <v>792</v>
      </c>
      <c r="I886" s="0" t="n">
        <v>0.4</v>
      </c>
      <c r="J886" s="0" t="n">
        <f aca="false">CONVERT(G886,"m^2","ha")</f>
        <v>3.0381322</v>
      </c>
      <c r="K886" s="0" t="n">
        <f aca="false">IF(J886&gt;(I886*2),((ROUNDDOWN(J886/I886,0))-1))</f>
        <v>6</v>
      </c>
    </row>
    <row r="887" customFormat="false" ht="12.75" hidden="false" customHeight="false" outlineLevel="0" collapsed="false">
      <c r="A887" s="5" t="n">
        <v>1478</v>
      </c>
      <c r="B887" s="6" t="s">
        <v>2561</v>
      </c>
      <c r="C887" s="6" t="s">
        <v>12</v>
      </c>
      <c r="D887" s="6" t="s">
        <v>2562</v>
      </c>
      <c r="E887" s="6" t="s">
        <v>14</v>
      </c>
      <c r="F887" s="6" t="n">
        <v>3778.7372875</v>
      </c>
      <c r="G887" s="6" t="n">
        <v>3778.737</v>
      </c>
      <c r="H887" s="6" t="s">
        <v>792</v>
      </c>
      <c r="I887" s="0" t="n">
        <v>0.4</v>
      </c>
      <c r="J887" s="0" t="n">
        <f aca="false">CONVERT(G887,"m^2","ha")</f>
        <v>0.3778737</v>
      </c>
      <c r="K887" s="0" t="b">
        <f aca="false">IF(J887&gt;(I887*2),((ROUNDDOWN(J887/I887,0))-1))</f>
        <v>0</v>
      </c>
    </row>
    <row r="888" customFormat="false" ht="12.75" hidden="false" customHeight="false" outlineLevel="0" collapsed="false">
      <c r="A888" s="5" t="n">
        <v>1479</v>
      </c>
      <c r="B888" s="6" t="s">
        <v>2563</v>
      </c>
      <c r="C888" s="6" t="s">
        <v>12</v>
      </c>
      <c r="D888" s="6" t="s">
        <v>2564</v>
      </c>
      <c r="E888" s="6" t="s">
        <v>14</v>
      </c>
      <c r="F888" s="6" t="n">
        <v>15710.77744514</v>
      </c>
      <c r="G888" s="6" t="n">
        <v>15710.777</v>
      </c>
      <c r="H888" s="6" t="s">
        <v>792</v>
      </c>
      <c r="I888" s="0" t="n">
        <v>0.4</v>
      </c>
      <c r="J888" s="0" t="n">
        <f aca="false">CONVERT(G888,"m^2","ha")</f>
        <v>1.5710777</v>
      </c>
      <c r="K888" s="0" t="n">
        <f aca="false">IF(J888&gt;(I888*2),((ROUNDDOWN(J888/I888,0))-1))</f>
        <v>2</v>
      </c>
    </row>
    <row r="889" customFormat="false" ht="12.75" hidden="false" customHeight="false" outlineLevel="0" collapsed="false">
      <c r="A889" s="5" t="n">
        <v>1631</v>
      </c>
      <c r="B889" s="6" t="s">
        <v>2565</v>
      </c>
      <c r="C889" s="6" t="s">
        <v>12</v>
      </c>
      <c r="D889" s="6" t="s">
        <v>2566</v>
      </c>
      <c r="E889" s="6" t="s">
        <v>383</v>
      </c>
      <c r="F889" s="6" t="n">
        <v>85.345516615</v>
      </c>
      <c r="G889" s="6" t="n">
        <v>85.346</v>
      </c>
      <c r="H889" s="6" t="s">
        <v>792</v>
      </c>
      <c r="I889" s="0" t="n">
        <v>0.4</v>
      </c>
      <c r="J889" s="0" t="n">
        <f aca="false">CONVERT(G889,"m^2","ha")</f>
        <v>0.0085346</v>
      </c>
      <c r="K889" s="0" t="b">
        <f aca="false">IF(J889&gt;(I889*2),((ROUNDDOWN(J889/I889,0))-1))</f>
        <v>0</v>
      </c>
    </row>
    <row r="890" customFormat="false" ht="12.75" hidden="false" customHeight="false" outlineLevel="0" collapsed="false">
      <c r="A890" s="5" t="n">
        <v>1632</v>
      </c>
      <c r="B890" s="6" t="s">
        <v>2567</v>
      </c>
      <c r="C890" s="6" t="s">
        <v>12</v>
      </c>
      <c r="D890" s="6" t="s">
        <v>2568</v>
      </c>
      <c r="E890" s="6" t="s">
        <v>14</v>
      </c>
      <c r="F890" s="6" t="n">
        <v>1815.35374844</v>
      </c>
      <c r="G890" s="6" t="n">
        <v>1816.015</v>
      </c>
      <c r="H890" s="6" t="s">
        <v>792</v>
      </c>
      <c r="I890" s="0" t="n">
        <v>0.4</v>
      </c>
      <c r="J890" s="0" t="n">
        <f aca="false">CONVERT(G890,"m^2","ha")</f>
        <v>0.1816015</v>
      </c>
      <c r="K890" s="0" t="b">
        <f aca="false">IF(J890&gt;(I890*2),((ROUNDDOWN(J890/I890,0))-1))</f>
        <v>0</v>
      </c>
    </row>
    <row r="891" customFormat="false" ht="12.75" hidden="false" customHeight="false" outlineLevel="0" collapsed="false">
      <c r="A891" s="5" t="n">
        <v>1633</v>
      </c>
      <c r="B891" s="6" t="s">
        <v>2569</v>
      </c>
      <c r="C891" s="6" t="s">
        <v>12</v>
      </c>
      <c r="D891" s="6" t="s">
        <v>2570</v>
      </c>
      <c r="E891" s="6" t="s">
        <v>14</v>
      </c>
      <c r="F891" s="6" t="n">
        <v>4176.584566825</v>
      </c>
      <c r="G891" s="6" t="n">
        <v>4176.585</v>
      </c>
      <c r="H891" s="6" t="s">
        <v>792</v>
      </c>
      <c r="I891" s="0" t="n">
        <v>0.4</v>
      </c>
      <c r="J891" s="0" t="n">
        <f aca="false">CONVERT(G891,"m^2","ha")</f>
        <v>0.4176585</v>
      </c>
      <c r="K891" s="0" t="b">
        <f aca="false">IF(J891&gt;(I891*2),((ROUNDDOWN(J891/I891,0))-1))</f>
        <v>0</v>
      </c>
    </row>
    <row r="892" customFormat="false" ht="12.75" hidden="false" customHeight="false" outlineLevel="0" collapsed="false">
      <c r="A892" s="5" t="n">
        <v>1634</v>
      </c>
      <c r="B892" s="6" t="s">
        <v>2571</v>
      </c>
      <c r="C892" s="6" t="s">
        <v>12</v>
      </c>
      <c r="D892" s="6" t="s">
        <v>2572</v>
      </c>
      <c r="E892" s="6" t="s">
        <v>14</v>
      </c>
      <c r="F892" s="6" t="n">
        <v>4022.602670495</v>
      </c>
      <c r="G892" s="6" t="n">
        <v>4017.739</v>
      </c>
      <c r="H892" s="6" t="s">
        <v>792</v>
      </c>
      <c r="I892" s="0" t="n">
        <v>0.4</v>
      </c>
      <c r="J892" s="0" t="n">
        <f aca="false">CONVERT(G892,"m^2","ha")</f>
        <v>0.4017739</v>
      </c>
      <c r="K892" s="0" t="b">
        <f aca="false">IF(J892&gt;(I892*2),((ROUNDDOWN(J892/I892,0))-1))</f>
        <v>0</v>
      </c>
    </row>
    <row r="893" customFormat="false" ht="12.75" hidden="false" customHeight="false" outlineLevel="0" collapsed="false">
      <c r="A893" s="5" t="n">
        <v>1635</v>
      </c>
      <c r="B893" s="6" t="s">
        <v>2573</v>
      </c>
      <c r="C893" s="6" t="s">
        <v>12</v>
      </c>
      <c r="D893" s="6" t="s">
        <v>2574</v>
      </c>
      <c r="E893" s="6" t="s">
        <v>14</v>
      </c>
      <c r="F893" s="6" t="n">
        <v>1212.088873005</v>
      </c>
      <c r="G893" s="6" t="n">
        <v>1212.576</v>
      </c>
      <c r="H893" s="6" t="s">
        <v>792</v>
      </c>
      <c r="I893" s="0" t="n">
        <v>0.4</v>
      </c>
      <c r="J893" s="0" t="n">
        <f aca="false">CONVERT(G893,"m^2","ha")</f>
        <v>0.1212576</v>
      </c>
      <c r="K893" s="0" t="b">
        <f aca="false">IF(J893&gt;(I893*2),((ROUNDDOWN(J893/I893,0))-1))</f>
        <v>0</v>
      </c>
    </row>
    <row r="894" customFormat="false" ht="12.75" hidden="false" customHeight="false" outlineLevel="0" collapsed="false">
      <c r="A894" s="5" t="n">
        <v>1636</v>
      </c>
      <c r="B894" s="6" t="s">
        <v>2575</v>
      </c>
      <c r="C894" s="6" t="s">
        <v>12</v>
      </c>
      <c r="D894" s="6" t="s">
        <v>2576</v>
      </c>
      <c r="E894" s="6" t="s">
        <v>14</v>
      </c>
      <c r="F894" s="6" t="n">
        <v>1172.587928265</v>
      </c>
      <c r="G894" s="6" t="n">
        <v>1173.197</v>
      </c>
      <c r="H894" s="6" t="s">
        <v>792</v>
      </c>
      <c r="I894" s="0" t="n">
        <v>0.4</v>
      </c>
      <c r="J894" s="0" t="n">
        <f aca="false">CONVERT(G894,"m^2","ha")</f>
        <v>0.1173197</v>
      </c>
      <c r="K894" s="0" t="b">
        <f aca="false">IF(J894&gt;(I894*2),((ROUNDDOWN(J894/I894,0))-1))</f>
        <v>0</v>
      </c>
    </row>
    <row r="895" customFormat="false" ht="12.75" hidden="false" customHeight="false" outlineLevel="0" collapsed="false">
      <c r="A895" s="5" t="n">
        <v>1637</v>
      </c>
      <c r="B895" s="6" t="s">
        <v>2577</v>
      </c>
      <c r="C895" s="6" t="s">
        <v>12</v>
      </c>
      <c r="D895" s="6" t="s">
        <v>2578</v>
      </c>
      <c r="E895" s="6" t="s">
        <v>14</v>
      </c>
      <c r="F895" s="6" t="n">
        <v>1735.24738593</v>
      </c>
      <c r="G895" s="6" t="n">
        <v>1737.311</v>
      </c>
      <c r="H895" s="6" t="s">
        <v>792</v>
      </c>
      <c r="I895" s="0" t="n">
        <v>0.4</v>
      </c>
      <c r="J895" s="0" t="n">
        <f aca="false">CONVERT(G895,"m^2","ha")</f>
        <v>0.1737311</v>
      </c>
      <c r="K895" s="0" t="b">
        <f aca="false">IF(J895&gt;(I895*2),((ROUNDDOWN(J895/I895,0))-1))</f>
        <v>0</v>
      </c>
    </row>
    <row r="896" customFormat="false" ht="12.75" hidden="false" customHeight="false" outlineLevel="0" collapsed="false">
      <c r="A896" s="5" t="n">
        <v>1638</v>
      </c>
      <c r="B896" s="6" t="s">
        <v>2579</v>
      </c>
      <c r="C896" s="6" t="s">
        <v>12</v>
      </c>
      <c r="D896" s="6" t="s">
        <v>2580</v>
      </c>
      <c r="E896" s="6" t="s">
        <v>14</v>
      </c>
      <c r="F896" s="6" t="n">
        <v>1008.82219386</v>
      </c>
      <c r="G896" s="6" t="n">
        <v>1006.236</v>
      </c>
      <c r="H896" s="6" t="s">
        <v>792</v>
      </c>
      <c r="I896" s="0" t="n">
        <v>0.4</v>
      </c>
      <c r="J896" s="0" t="n">
        <f aca="false">CONVERT(G896,"m^2","ha")</f>
        <v>0.1006236</v>
      </c>
      <c r="K896" s="0" t="b">
        <f aca="false">IF(J896&gt;(I896*2),((ROUNDDOWN(J896/I896,0))-1))</f>
        <v>0</v>
      </c>
    </row>
    <row r="897" customFormat="false" ht="12.75" hidden="false" customHeight="false" outlineLevel="0" collapsed="false">
      <c r="A897" s="5" t="n">
        <v>1639</v>
      </c>
      <c r="B897" s="6" t="s">
        <v>2581</v>
      </c>
      <c r="C897" s="6" t="s">
        <v>12</v>
      </c>
      <c r="D897" s="6" t="s">
        <v>2582</v>
      </c>
      <c r="E897" s="6" t="s">
        <v>14</v>
      </c>
      <c r="F897" s="6" t="n">
        <v>1419.23138206</v>
      </c>
      <c r="G897" s="6" t="n">
        <v>1421.953</v>
      </c>
      <c r="H897" s="6" t="s">
        <v>792</v>
      </c>
      <c r="I897" s="0" t="n">
        <v>0.4</v>
      </c>
      <c r="J897" s="0" t="n">
        <f aca="false">CONVERT(G897,"m^2","ha")</f>
        <v>0.1421953</v>
      </c>
      <c r="K897" s="0" t="b">
        <f aca="false">IF(J897&gt;(I897*2),((ROUNDDOWN(J897/I897,0))-1))</f>
        <v>0</v>
      </c>
    </row>
    <row r="898" customFormat="false" ht="12.75" hidden="false" customHeight="false" outlineLevel="0" collapsed="false">
      <c r="A898" s="5" t="n">
        <v>1640</v>
      </c>
      <c r="B898" s="6" t="s">
        <v>2583</v>
      </c>
      <c r="C898" s="6" t="s">
        <v>12</v>
      </c>
      <c r="D898" s="6" t="s">
        <v>2584</v>
      </c>
      <c r="E898" s="6" t="s">
        <v>14</v>
      </c>
      <c r="F898" s="6" t="n">
        <v>1186.16923893</v>
      </c>
      <c r="G898" s="6" t="n">
        <v>1186.749</v>
      </c>
      <c r="H898" s="6" t="s">
        <v>792</v>
      </c>
      <c r="I898" s="0" t="n">
        <v>0.4</v>
      </c>
      <c r="J898" s="0" t="n">
        <f aca="false">CONVERT(G898,"m^2","ha")</f>
        <v>0.1186749</v>
      </c>
      <c r="K898" s="0" t="b">
        <f aca="false">IF(J898&gt;(I898*2),((ROUNDDOWN(J898/I898,0))-1))</f>
        <v>0</v>
      </c>
    </row>
    <row r="899" customFormat="false" ht="12.75" hidden="false" customHeight="false" outlineLevel="0" collapsed="false">
      <c r="A899" s="5" t="n">
        <v>1641</v>
      </c>
      <c r="B899" s="6" t="s">
        <v>2585</v>
      </c>
      <c r="C899" s="6" t="s">
        <v>12</v>
      </c>
      <c r="D899" s="6" t="s">
        <v>2586</v>
      </c>
      <c r="E899" s="6" t="s">
        <v>14</v>
      </c>
      <c r="F899" s="6" t="n">
        <v>1086.038957695</v>
      </c>
      <c r="G899" s="6" t="n">
        <v>1085.941</v>
      </c>
      <c r="H899" s="6" t="s">
        <v>792</v>
      </c>
      <c r="I899" s="0" t="n">
        <v>0.4</v>
      </c>
      <c r="J899" s="0" t="n">
        <f aca="false">CONVERT(G899,"m^2","ha")</f>
        <v>0.1085941</v>
      </c>
      <c r="K899" s="0" t="b">
        <f aca="false">IF(J899&gt;(I899*2),((ROUNDDOWN(J899/I899,0))-1))</f>
        <v>0</v>
      </c>
    </row>
    <row r="900" customFormat="false" ht="12.75" hidden="false" customHeight="false" outlineLevel="0" collapsed="false">
      <c r="A900" s="5" t="n">
        <v>1642</v>
      </c>
      <c r="B900" s="6" t="s">
        <v>2587</v>
      </c>
      <c r="C900" s="6" t="s">
        <v>12</v>
      </c>
      <c r="D900" s="6" t="s">
        <v>2588</v>
      </c>
      <c r="E900" s="6" t="s">
        <v>14</v>
      </c>
      <c r="F900" s="6" t="n">
        <v>1967.99712651</v>
      </c>
      <c r="G900" s="6" t="n">
        <v>1969.385</v>
      </c>
      <c r="H900" s="6" t="s">
        <v>792</v>
      </c>
      <c r="I900" s="0" t="n">
        <v>0.4</v>
      </c>
      <c r="J900" s="0" t="n">
        <f aca="false">CONVERT(G900,"m^2","ha")</f>
        <v>0.1969385</v>
      </c>
      <c r="K900" s="0" t="b">
        <f aca="false">IF(J900&gt;(I900*2),((ROUNDDOWN(J900/I900,0))-1))</f>
        <v>0</v>
      </c>
    </row>
    <row r="901" customFormat="false" ht="12.75" hidden="false" customHeight="false" outlineLevel="0" collapsed="false">
      <c r="A901" s="5" t="n">
        <v>1643</v>
      </c>
      <c r="B901" s="6" t="s">
        <v>2589</v>
      </c>
      <c r="C901" s="6" t="s">
        <v>12</v>
      </c>
      <c r="D901" s="6" t="s">
        <v>2590</v>
      </c>
      <c r="E901" s="6" t="s">
        <v>14</v>
      </c>
      <c r="F901" s="6" t="n">
        <v>1207.57104525</v>
      </c>
      <c r="G901" s="6" t="n">
        <v>1208.199</v>
      </c>
      <c r="H901" s="6" t="s">
        <v>792</v>
      </c>
      <c r="I901" s="0" t="n">
        <v>0.4</v>
      </c>
      <c r="J901" s="0" t="n">
        <f aca="false">CONVERT(G901,"m^2","ha")</f>
        <v>0.1208199</v>
      </c>
      <c r="K901" s="0" t="b">
        <f aca="false">IF(J901&gt;(I901*2),((ROUNDDOWN(J901/I901,0))-1))</f>
        <v>0</v>
      </c>
    </row>
    <row r="902" customFormat="false" ht="12.75" hidden="false" customHeight="false" outlineLevel="0" collapsed="false">
      <c r="A902" s="5" t="n">
        <v>1644</v>
      </c>
      <c r="B902" s="6" t="s">
        <v>2591</v>
      </c>
      <c r="C902" s="6" t="s">
        <v>12</v>
      </c>
      <c r="D902" s="6" t="s">
        <v>2592</v>
      </c>
      <c r="E902" s="6" t="s">
        <v>14</v>
      </c>
      <c r="F902" s="6" t="n">
        <v>1200.15096263</v>
      </c>
      <c r="G902" s="6" t="n">
        <v>1200.819</v>
      </c>
      <c r="H902" s="6" t="s">
        <v>792</v>
      </c>
      <c r="I902" s="0" t="n">
        <v>0.4</v>
      </c>
      <c r="J902" s="0" t="n">
        <f aca="false">CONVERT(G902,"m^2","ha")</f>
        <v>0.1200819</v>
      </c>
      <c r="K902" s="0" t="b">
        <f aca="false">IF(J902&gt;(I902*2),((ROUNDDOWN(J902/I902,0))-1))</f>
        <v>0</v>
      </c>
    </row>
    <row r="903" customFormat="false" ht="12.75" hidden="false" customHeight="false" outlineLevel="0" collapsed="false">
      <c r="A903" s="5" t="n">
        <v>1645</v>
      </c>
      <c r="B903" s="6" t="s">
        <v>2593</v>
      </c>
      <c r="C903" s="6" t="s">
        <v>12</v>
      </c>
      <c r="D903" s="6" t="s">
        <v>2594</v>
      </c>
      <c r="E903" s="6" t="s">
        <v>14</v>
      </c>
      <c r="F903" s="6" t="n">
        <v>1208.039220545</v>
      </c>
      <c r="G903" s="6" t="n">
        <v>1208.67</v>
      </c>
      <c r="H903" s="6" t="s">
        <v>792</v>
      </c>
      <c r="I903" s="0" t="n">
        <v>0.4</v>
      </c>
      <c r="J903" s="0" t="n">
        <f aca="false">CONVERT(G903,"m^2","ha")</f>
        <v>0.120867</v>
      </c>
      <c r="K903" s="0" t="b">
        <f aca="false">IF(J903&gt;(I903*2),((ROUNDDOWN(J903/I903,0))-1))</f>
        <v>0</v>
      </c>
    </row>
    <row r="904" customFormat="false" ht="12.75" hidden="false" customHeight="false" outlineLevel="0" collapsed="false">
      <c r="A904" s="5" t="n">
        <v>1646</v>
      </c>
      <c r="B904" s="6" t="s">
        <v>2595</v>
      </c>
      <c r="C904" s="6" t="s">
        <v>12</v>
      </c>
      <c r="D904" s="6" t="s">
        <v>2596</v>
      </c>
      <c r="E904" s="6" t="s">
        <v>14</v>
      </c>
      <c r="F904" s="6" t="n">
        <v>3887.602584005</v>
      </c>
      <c r="G904" s="6" t="n">
        <v>3887.603</v>
      </c>
      <c r="H904" s="6" t="s">
        <v>792</v>
      </c>
      <c r="I904" s="0" t="n">
        <v>0.4</v>
      </c>
      <c r="J904" s="0" t="n">
        <f aca="false">CONVERT(G904,"m^2","ha")</f>
        <v>0.3887603</v>
      </c>
      <c r="K904" s="0" t="b">
        <f aca="false">IF(J904&gt;(I904*2),((ROUNDDOWN(J904/I904,0))-1))</f>
        <v>0</v>
      </c>
    </row>
    <row r="905" customFormat="false" ht="12.75" hidden="false" customHeight="false" outlineLevel="0" collapsed="false">
      <c r="A905" s="5" t="n">
        <v>1647</v>
      </c>
      <c r="B905" s="6" t="s">
        <v>2597</v>
      </c>
      <c r="C905" s="6" t="s">
        <v>12</v>
      </c>
      <c r="D905" s="6" t="s">
        <v>2598</v>
      </c>
      <c r="E905" s="6" t="s">
        <v>14</v>
      </c>
      <c r="F905" s="6" t="n">
        <v>1290.35479034</v>
      </c>
      <c r="G905" s="6" t="n">
        <v>1291.323</v>
      </c>
      <c r="H905" s="6" t="s">
        <v>792</v>
      </c>
      <c r="I905" s="0" t="n">
        <v>0.4</v>
      </c>
      <c r="J905" s="0" t="n">
        <f aca="false">CONVERT(G905,"m^2","ha")</f>
        <v>0.1291323</v>
      </c>
      <c r="K905" s="0" t="b">
        <f aca="false">IF(J905&gt;(I905*2),((ROUNDDOWN(J905/I905,0))-1))</f>
        <v>0</v>
      </c>
    </row>
    <row r="906" customFormat="false" ht="12.75" hidden="false" customHeight="false" outlineLevel="0" collapsed="false">
      <c r="A906" s="5" t="n">
        <v>1648</v>
      </c>
      <c r="B906" s="6" t="s">
        <v>2599</v>
      </c>
      <c r="C906" s="6" t="s">
        <v>12</v>
      </c>
      <c r="D906" s="6" t="s">
        <v>2600</v>
      </c>
      <c r="E906" s="6" t="s">
        <v>14</v>
      </c>
      <c r="F906" s="6" t="n">
        <v>1070.0874632</v>
      </c>
      <c r="G906" s="6" t="n">
        <v>1070.087</v>
      </c>
      <c r="H906" s="6" t="s">
        <v>792</v>
      </c>
      <c r="I906" s="0" t="n">
        <v>0.4</v>
      </c>
      <c r="J906" s="0" t="n">
        <f aca="false">CONVERT(G906,"m^2","ha")</f>
        <v>0.1070087</v>
      </c>
      <c r="K906" s="0" t="b">
        <f aca="false">IF(J906&gt;(I906*2),((ROUNDDOWN(J906/I906,0))-1))</f>
        <v>0</v>
      </c>
    </row>
    <row r="907" customFormat="false" ht="12.75" hidden="false" customHeight="false" outlineLevel="0" collapsed="false">
      <c r="A907" s="5" t="n">
        <v>1649</v>
      </c>
      <c r="B907" s="6" t="s">
        <v>2601</v>
      </c>
      <c r="C907" s="6" t="s">
        <v>12</v>
      </c>
      <c r="D907" s="6" t="s">
        <v>2602</v>
      </c>
      <c r="E907" s="6" t="s">
        <v>14</v>
      </c>
      <c r="F907" s="6" t="n">
        <v>1679.057028785</v>
      </c>
      <c r="G907" s="6" t="n">
        <v>1680.555</v>
      </c>
      <c r="H907" s="6" t="s">
        <v>792</v>
      </c>
      <c r="I907" s="0" t="n">
        <v>0.4</v>
      </c>
      <c r="J907" s="0" t="n">
        <f aca="false">CONVERT(G907,"m^2","ha")</f>
        <v>0.1680555</v>
      </c>
      <c r="K907" s="0" t="b">
        <f aca="false">IF(J907&gt;(I907*2),((ROUNDDOWN(J907/I907,0))-1))</f>
        <v>0</v>
      </c>
    </row>
    <row r="908" customFormat="false" ht="12.75" hidden="false" customHeight="false" outlineLevel="0" collapsed="false">
      <c r="A908" s="5" t="n">
        <v>1650</v>
      </c>
      <c r="B908" s="6" t="s">
        <v>2603</v>
      </c>
      <c r="C908" s="6" t="s">
        <v>12</v>
      </c>
      <c r="D908" s="6" t="s">
        <v>2604</v>
      </c>
      <c r="E908" s="6" t="s">
        <v>14</v>
      </c>
      <c r="F908" s="6" t="n">
        <v>3763.60425166</v>
      </c>
      <c r="G908" s="6" t="n">
        <v>3763.437</v>
      </c>
      <c r="H908" s="6" t="s">
        <v>792</v>
      </c>
      <c r="I908" s="0" t="n">
        <v>0.4</v>
      </c>
      <c r="J908" s="0" t="n">
        <f aca="false">CONVERT(G908,"m^2","ha")</f>
        <v>0.3763437</v>
      </c>
      <c r="K908" s="0" t="b">
        <f aca="false">IF(J908&gt;(I908*2),((ROUNDDOWN(J908/I908,0))-1))</f>
        <v>0</v>
      </c>
    </row>
    <row r="909" customFormat="false" ht="12.75" hidden="false" customHeight="false" outlineLevel="0" collapsed="false">
      <c r="A909" s="5" t="n">
        <v>1651</v>
      </c>
      <c r="B909" s="6" t="s">
        <v>2605</v>
      </c>
      <c r="C909" s="6" t="s">
        <v>12</v>
      </c>
      <c r="D909" s="6" t="s">
        <v>2606</v>
      </c>
      <c r="E909" s="6" t="s">
        <v>14</v>
      </c>
      <c r="F909" s="6" t="n">
        <v>1496.88028611</v>
      </c>
      <c r="G909" s="6" t="n">
        <v>1496.88</v>
      </c>
      <c r="H909" s="6" t="s">
        <v>792</v>
      </c>
      <c r="I909" s="0" t="n">
        <v>0.4</v>
      </c>
      <c r="J909" s="0" t="n">
        <f aca="false">CONVERT(G909,"m^2","ha")</f>
        <v>0.149688</v>
      </c>
      <c r="K909" s="0" t="b">
        <f aca="false">IF(J909&gt;(I909*2),((ROUNDDOWN(J909/I909,0))-1))</f>
        <v>0</v>
      </c>
    </row>
    <row r="910" customFormat="false" ht="12.75" hidden="false" customHeight="false" outlineLevel="0" collapsed="false">
      <c r="A910" s="5" t="n">
        <v>1652</v>
      </c>
      <c r="B910" s="6" t="s">
        <v>2607</v>
      </c>
      <c r="C910" s="6" t="s">
        <v>12</v>
      </c>
      <c r="D910" s="6" t="s">
        <v>2608</v>
      </c>
      <c r="E910" s="6" t="s">
        <v>14</v>
      </c>
      <c r="F910" s="6" t="n">
        <v>1201.240022245</v>
      </c>
      <c r="G910" s="6" t="n">
        <v>1201.24</v>
      </c>
      <c r="H910" s="6" t="s">
        <v>792</v>
      </c>
      <c r="I910" s="0" t="n">
        <v>0.4</v>
      </c>
      <c r="J910" s="0" t="n">
        <f aca="false">CONVERT(G910,"m^2","ha")</f>
        <v>0.120124</v>
      </c>
      <c r="K910" s="0" t="b">
        <f aca="false">IF(J910&gt;(I910*2),((ROUNDDOWN(J910/I910,0))-1))</f>
        <v>0</v>
      </c>
    </row>
    <row r="911" customFormat="false" ht="12.75" hidden="false" customHeight="false" outlineLevel="0" collapsed="false">
      <c r="A911" s="5" t="n">
        <v>1655</v>
      </c>
      <c r="B911" s="6" t="s">
        <v>2609</v>
      </c>
      <c r="C911" s="6" t="s">
        <v>12</v>
      </c>
      <c r="D911" s="6" t="s">
        <v>2610</v>
      </c>
      <c r="E911" s="6" t="s">
        <v>14</v>
      </c>
      <c r="F911" s="6" t="n">
        <v>5470.518663245</v>
      </c>
      <c r="G911" s="6" t="n">
        <v>5470.51</v>
      </c>
      <c r="H911" s="6" t="s">
        <v>792</v>
      </c>
      <c r="I911" s="0" t="n">
        <v>0.4</v>
      </c>
      <c r="J911" s="0" t="n">
        <f aca="false">CONVERT(G911,"m^2","ha")</f>
        <v>0.547051</v>
      </c>
      <c r="K911" s="0" t="b">
        <f aca="false">IF(J911&gt;(I911*2),((ROUNDDOWN(J911/I911,0))-1))</f>
        <v>0</v>
      </c>
    </row>
    <row r="912" customFormat="false" ht="12.75" hidden="false" customHeight="false" outlineLevel="0" collapsed="false">
      <c r="A912" s="5" t="n">
        <v>1656</v>
      </c>
      <c r="B912" s="6" t="s">
        <v>2611</v>
      </c>
      <c r="C912" s="6" t="s">
        <v>12</v>
      </c>
      <c r="D912" s="6" t="s">
        <v>2612</v>
      </c>
      <c r="E912" s="6" t="s">
        <v>14</v>
      </c>
      <c r="F912" s="6" t="n">
        <v>1626.626116895</v>
      </c>
      <c r="G912" s="6" t="n">
        <v>1626.626</v>
      </c>
      <c r="H912" s="6" t="s">
        <v>792</v>
      </c>
      <c r="I912" s="0" t="n">
        <v>0.4</v>
      </c>
      <c r="J912" s="0" t="n">
        <f aca="false">CONVERT(G912,"m^2","ha")</f>
        <v>0.1626626</v>
      </c>
      <c r="K912" s="0" t="b">
        <f aca="false">IF(J912&gt;(I912*2),((ROUNDDOWN(J912/I912,0))-1))</f>
        <v>0</v>
      </c>
    </row>
    <row r="913" customFormat="false" ht="12.75" hidden="false" customHeight="false" outlineLevel="0" collapsed="false">
      <c r="A913" s="5" t="n">
        <v>1657</v>
      </c>
      <c r="B913" s="6" t="s">
        <v>2613</v>
      </c>
      <c r="C913" s="6" t="s">
        <v>12</v>
      </c>
      <c r="D913" s="6" t="s">
        <v>2614</v>
      </c>
      <c r="E913" s="6" t="s">
        <v>14</v>
      </c>
      <c r="F913" s="6" t="n">
        <v>1225.2493166</v>
      </c>
      <c r="G913" s="6" t="n">
        <v>1224.056</v>
      </c>
      <c r="H913" s="6" t="s">
        <v>792</v>
      </c>
      <c r="I913" s="0" t="n">
        <v>0.4</v>
      </c>
      <c r="J913" s="0" t="n">
        <f aca="false">CONVERT(G913,"m^2","ha")</f>
        <v>0.1224056</v>
      </c>
      <c r="K913" s="0" t="b">
        <f aca="false">IF(J913&gt;(I913*2),((ROUNDDOWN(J913/I913,0))-1))</f>
        <v>0</v>
      </c>
    </row>
    <row r="914" customFormat="false" ht="12.75" hidden="false" customHeight="false" outlineLevel="0" collapsed="false">
      <c r="A914" s="5" t="n">
        <v>1658</v>
      </c>
      <c r="B914" s="6" t="s">
        <v>2615</v>
      </c>
      <c r="C914" s="6" t="s">
        <v>12</v>
      </c>
      <c r="D914" s="6" t="s">
        <v>2616</v>
      </c>
      <c r="E914" s="6" t="s">
        <v>14</v>
      </c>
      <c r="F914" s="6" t="n">
        <v>1745.62901273</v>
      </c>
      <c r="G914" s="6" t="n">
        <v>1746.224</v>
      </c>
      <c r="H914" s="6" t="s">
        <v>792</v>
      </c>
      <c r="I914" s="0" t="n">
        <v>0.4</v>
      </c>
      <c r="J914" s="0" t="n">
        <f aca="false">CONVERT(G914,"m^2","ha")</f>
        <v>0.1746224</v>
      </c>
      <c r="K914" s="0" t="b">
        <f aca="false">IF(J914&gt;(I914*2),((ROUNDDOWN(J914/I914,0))-1))</f>
        <v>0</v>
      </c>
    </row>
    <row r="915" customFormat="false" ht="12.75" hidden="false" customHeight="false" outlineLevel="0" collapsed="false">
      <c r="A915" s="5" t="n">
        <v>1659</v>
      </c>
      <c r="B915" s="6" t="s">
        <v>2617</v>
      </c>
      <c r="C915" s="6" t="s">
        <v>12</v>
      </c>
      <c r="D915" s="6" t="s">
        <v>2618</v>
      </c>
      <c r="E915" s="6" t="s">
        <v>14</v>
      </c>
      <c r="F915" s="6" t="n">
        <v>1634.212057195</v>
      </c>
      <c r="G915" s="6" t="n">
        <v>1634.212</v>
      </c>
      <c r="H915" s="6" t="s">
        <v>792</v>
      </c>
      <c r="I915" s="0" t="n">
        <v>0.4</v>
      </c>
      <c r="J915" s="0" t="n">
        <f aca="false">CONVERT(G915,"m^2","ha")</f>
        <v>0.1634212</v>
      </c>
      <c r="K915" s="0" t="b">
        <f aca="false">IF(J915&gt;(I915*2),((ROUNDDOWN(J915/I915,0))-1))</f>
        <v>0</v>
      </c>
    </row>
    <row r="916" customFormat="false" ht="12.75" hidden="false" customHeight="false" outlineLevel="0" collapsed="false">
      <c r="A916" s="5" t="n">
        <v>1660</v>
      </c>
      <c r="B916" s="6" t="s">
        <v>2619</v>
      </c>
      <c r="C916" s="6" t="s">
        <v>12</v>
      </c>
      <c r="D916" s="6" t="s">
        <v>2620</v>
      </c>
      <c r="E916" s="6" t="s">
        <v>14</v>
      </c>
      <c r="F916" s="6" t="n">
        <v>3469.12880892</v>
      </c>
      <c r="G916" s="6" t="n">
        <v>3469.129</v>
      </c>
      <c r="H916" s="6" t="s">
        <v>792</v>
      </c>
      <c r="I916" s="0" t="n">
        <v>0.4</v>
      </c>
      <c r="J916" s="0" t="n">
        <f aca="false">CONVERT(G916,"m^2","ha")</f>
        <v>0.3469129</v>
      </c>
      <c r="K916" s="0" t="b">
        <f aca="false">IF(J916&gt;(I916*2),((ROUNDDOWN(J916/I916,0))-1))</f>
        <v>0</v>
      </c>
    </row>
    <row r="917" customFormat="false" ht="12.75" hidden="false" customHeight="false" outlineLevel="0" collapsed="false">
      <c r="A917" s="5" t="n">
        <v>1661</v>
      </c>
      <c r="B917" s="6" t="s">
        <v>2621</v>
      </c>
      <c r="C917" s="6" t="s">
        <v>12</v>
      </c>
      <c r="D917" s="6" t="s">
        <v>2622</v>
      </c>
      <c r="E917" s="6" t="s">
        <v>14</v>
      </c>
      <c r="F917" s="6" t="n">
        <v>957.85361333</v>
      </c>
      <c r="G917" s="6" t="n">
        <v>957.854</v>
      </c>
      <c r="H917" s="6" t="s">
        <v>792</v>
      </c>
      <c r="I917" s="0" t="n">
        <v>0.4</v>
      </c>
      <c r="J917" s="0" t="n">
        <f aca="false">CONVERT(G917,"m^2","ha")</f>
        <v>0.0957854</v>
      </c>
      <c r="K917" s="0" t="b">
        <f aca="false">IF(J917&gt;(I917*2),((ROUNDDOWN(J917/I917,0))-1))</f>
        <v>0</v>
      </c>
    </row>
    <row r="918" customFormat="false" ht="12.75" hidden="false" customHeight="false" outlineLevel="0" collapsed="false">
      <c r="A918" s="5" t="n">
        <v>1662</v>
      </c>
      <c r="B918" s="6" t="s">
        <v>2623</v>
      </c>
      <c r="C918" s="6" t="s">
        <v>12</v>
      </c>
      <c r="D918" s="6" t="s">
        <v>2624</v>
      </c>
      <c r="E918" s="6" t="s">
        <v>14</v>
      </c>
      <c r="F918" s="6" t="n">
        <v>10358.27289753</v>
      </c>
      <c r="G918" s="6" t="n">
        <v>10358.273</v>
      </c>
      <c r="H918" s="6" t="s">
        <v>792</v>
      </c>
      <c r="I918" s="0" t="n">
        <v>0.4</v>
      </c>
      <c r="J918" s="0" t="n">
        <f aca="false">CONVERT(G918,"m^2","ha")</f>
        <v>1.0358273</v>
      </c>
      <c r="K918" s="0" t="n">
        <f aca="false">IF(J918&gt;(I918*2),((ROUNDDOWN(J918/I918,0))-1))</f>
        <v>1</v>
      </c>
    </row>
    <row r="919" customFormat="false" ht="12.75" hidden="false" customHeight="false" outlineLevel="0" collapsed="false">
      <c r="A919" s="5" t="n">
        <v>1668</v>
      </c>
      <c r="B919" s="6" t="s">
        <v>2625</v>
      </c>
      <c r="C919" s="6" t="s">
        <v>12</v>
      </c>
      <c r="D919" s="6" t="s">
        <v>2626</v>
      </c>
      <c r="E919" s="6" t="s">
        <v>14</v>
      </c>
      <c r="F919" s="6" t="n">
        <v>13065.773227895</v>
      </c>
      <c r="G919" s="6" t="n">
        <v>13056.4</v>
      </c>
      <c r="H919" s="6" t="s">
        <v>792</v>
      </c>
      <c r="I919" s="0" t="n">
        <v>0.4</v>
      </c>
      <c r="J919" s="0" t="n">
        <f aca="false">CONVERT(G919,"m^2","ha")</f>
        <v>1.30564</v>
      </c>
      <c r="K919" s="0" t="n">
        <f aca="false">IF(J919&gt;(I919*2),((ROUNDDOWN(J919/I919,0))-1))</f>
        <v>2</v>
      </c>
    </row>
    <row r="920" customFormat="false" ht="12.75" hidden="false" customHeight="false" outlineLevel="0" collapsed="false">
      <c r="A920" s="5" t="n">
        <v>1714</v>
      </c>
      <c r="B920" s="6" t="s">
        <v>2627</v>
      </c>
      <c r="C920" s="6" t="s">
        <v>12</v>
      </c>
      <c r="D920" s="6" t="s">
        <v>2628</v>
      </c>
      <c r="E920" s="6" t="s">
        <v>14</v>
      </c>
      <c r="F920" s="6" t="n">
        <v>1046.84418979</v>
      </c>
      <c r="G920" s="6" t="n">
        <v>1046.844</v>
      </c>
      <c r="H920" s="6" t="s">
        <v>792</v>
      </c>
      <c r="I920" s="0" t="n">
        <v>0.4</v>
      </c>
      <c r="J920" s="0" t="n">
        <f aca="false">CONVERT(G920,"m^2","ha")</f>
        <v>0.1046844</v>
      </c>
      <c r="K920" s="0" t="b">
        <f aca="false">IF(J920&gt;(I920*2),((ROUNDDOWN(J920/I920,0))-1))</f>
        <v>0</v>
      </c>
    </row>
    <row r="921" customFormat="false" ht="12.75" hidden="false" customHeight="false" outlineLevel="0" collapsed="false">
      <c r="A921" s="5" t="n">
        <v>1715</v>
      </c>
      <c r="B921" s="6" t="s">
        <v>2629</v>
      </c>
      <c r="C921" s="6" t="s">
        <v>12</v>
      </c>
      <c r="D921" s="6" t="s">
        <v>2630</v>
      </c>
      <c r="E921" s="6" t="s">
        <v>14</v>
      </c>
      <c r="F921" s="6" t="n">
        <v>918.69322405</v>
      </c>
      <c r="G921" s="6" t="n">
        <v>918.693</v>
      </c>
      <c r="H921" s="6" t="s">
        <v>792</v>
      </c>
      <c r="I921" s="0" t="n">
        <v>0.4</v>
      </c>
      <c r="J921" s="0" t="n">
        <f aca="false">CONVERT(G921,"m^2","ha")</f>
        <v>0.0918693</v>
      </c>
      <c r="K921" s="0" t="b">
        <f aca="false">IF(J921&gt;(I921*2),((ROUNDDOWN(J921/I921,0))-1))</f>
        <v>0</v>
      </c>
    </row>
    <row r="922" customFormat="false" ht="12.75" hidden="false" customHeight="false" outlineLevel="0" collapsed="false">
      <c r="A922" s="5" t="n">
        <v>1716</v>
      </c>
      <c r="B922" s="6" t="s">
        <v>2631</v>
      </c>
      <c r="C922" s="6" t="s">
        <v>12</v>
      </c>
      <c r="D922" s="6" t="s">
        <v>2632</v>
      </c>
      <c r="E922" s="6" t="s">
        <v>14</v>
      </c>
      <c r="F922" s="6" t="n">
        <v>967.394881445</v>
      </c>
      <c r="G922" s="6" t="n">
        <v>967.395</v>
      </c>
      <c r="H922" s="6" t="s">
        <v>792</v>
      </c>
      <c r="I922" s="0" t="n">
        <v>0.4</v>
      </c>
      <c r="J922" s="0" t="n">
        <f aca="false">CONVERT(G922,"m^2","ha")</f>
        <v>0.0967395</v>
      </c>
      <c r="K922" s="0" t="b">
        <f aca="false">IF(J922&gt;(I922*2),((ROUNDDOWN(J922/I922,0))-1))</f>
        <v>0</v>
      </c>
    </row>
    <row r="923" customFormat="false" ht="12.75" hidden="false" customHeight="false" outlineLevel="0" collapsed="false">
      <c r="A923" s="5" t="n">
        <v>1717</v>
      </c>
      <c r="B923" s="6" t="s">
        <v>2633</v>
      </c>
      <c r="C923" s="6" t="s">
        <v>12</v>
      </c>
      <c r="D923" s="6" t="s">
        <v>2634</v>
      </c>
      <c r="E923" s="6" t="s">
        <v>14</v>
      </c>
      <c r="F923" s="6" t="n">
        <v>983.18874532</v>
      </c>
      <c r="G923" s="6" t="n">
        <v>983.189</v>
      </c>
      <c r="H923" s="6" t="s">
        <v>792</v>
      </c>
      <c r="I923" s="0" t="n">
        <v>0.4</v>
      </c>
      <c r="J923" s="0" t="n">
        <f aca="false">CONVERT(G923,"m^2","ha")</f>
        <v>0.0983189</v>
      </c>
      <c r="K923" s="0" t="b">
        <f aca="false">IF(J923&gt;(I923*2),((ROUNDDOWN(J923/I923,0))-1))</f>
        <v>0</v>
      </c>
    </row>
    <row r="924" customFormat="false" ht="12.75" hidden="false" customHeight="false" outlineLevel="0" collapsed="false">
      <c r="A924" s="5" t="n">
        <v>1718</v>
      </c>
      <c r="B924" s="6" t="s">
        <v>2635</v>
      </c>
      <c r="C924" s="6" t="s">
        <v>12</v>
      </c>
      <c r="D924" s="6" t="s">
        <v>2636</v>
      </c>
      <c r="E924" s="6" t="s">
        <v>14</v>
      </c>
      <c r="F924" s="6" t="n">
        <v>869.812322665</v>
      </c>
      <c r="G924" s="6" t="n">
        <v>869.812</v>
      </c>
      <c r="H924" s="6" t="s">
        <v>792</v>
      </c>
      <c r="I924" s="0" t="n">
        <v>0.4</v>
      </c>
      <c r="J924" s="0" t="n">
        <f aca="false">CONVERT(G924,"m^2","ha")</f>
        <v>0.0869812</v>
      </c>
      <c r="K924" s="0" t="b">
        <f aca="false">IF(J924&gt;(I924*2),((ROUNDDOWN(J924/I924,0))-1))</f>
        <v>0</v>
      </c>
    </row>
    <row r="925" customFormat="false" ht="12.75" hidden="false" customHeight="false" outlineLevel="0" collapsed="false">
      <c r="A925" s="5" t="n">
        <v>1719</v>
      </c>
      <c r="B925" s="6" t="s">
        <v>2637</v>
      </c>
      <c r="C925" s="6" t="s">
        <v>12</v>
      </c>
      <c r="D925" s="6" t="s">
        <v>2638</v>
      </c>
      <c r="E925" s="6" t="s">
        <v>14</v>
      </c>
      <c r="F925" s="6" t="n">
        <v>1047.58736965</v>
      </c>
      <c r="G925" s="6" t="n">
        <v>1047.587</v>
      </c>
      <c r="H925" s="6" t="s">
        <v>792</v>
      </c>
      <c r="I925" s="0" t="n">
        <v>0.4</v>
      </c>
      <c r="J925" s="0" t="n">
        <f aca="false">CONVERT(G925,"m^2","ha")</f>
        <v>0.1047587</v>
      </c>
      <c r="K925" s="0" t="b">
        <f aca="false">IF(J925&gt;(I925*2),((ROUNDDOWN(J925/I925,0))-1))</f>
        <v>0</v>
      </c>
    </row>
    <row r="926" customFormat="false" ht="12.75" hidden="false" customHeight="false" outlineLevel="0" collapsed="false">
      <c r="A926" s="5" t="n">
        <v>1720</v>
      </c>
      <c r="B926" s="6" t="s">
        <v>2639</v>
      </c>
      <c r="C926" s="6" t="s">
        <v>12</v>
      </c>
      <c r="D926" s="6" t="s">
        <v>2640</v>
      </c>
      <c r="E926" s="6" t="s">
        <v>14</v>
      </c>
      <c r="F926" s="6" t="n">
        <v>1036.174089555</v>
      </c>
      <c r="G926" s="6" t="n">
        <v>1036.174</v>
      </c>
      <c r="H926" s="6" t="s">
        <v>792</v>
      </c>
      <c r="I926" s="0" t="n">
        <v>0.4</v>
      </c>
      <c r="J926" s="0" t="n">
        <f aca="false">CONVERT(G926,"m^2","ha")</f>
        <v>0.1036174</v>
      </c>
      <c r="K926" s="0" t="b">
        <f aca="false">IF(J926&gt;(I926*2),((ROUNDDOWN(J926/I926,0))-1))</f>
        <v>0</v>
      </c>
    </row>
    <row r="927" customFormat="false" ht="12.75" hidden="false" customHeight="false" outlineLevel="0" collapsed="false">
      <c r="A927" s="5" t="n">
        <v>1721</v>
      </c>
      <c r="B927" s="6" t="s">
        <v>2641</v>
      </c>
      <c r="C927" s="6" t="s">
        <v>12</v>
      </c>
      <c r="D927" s="6" t="s">
        <v>2642</v>
      </c>
      <c r="E927" s="6" t="s">
        <v>14</v>
      </c>
      <c r="F927" s="6" t="n">
        <v>1038.338957205</v>
      </c>
      <c r="G927" s="6" t="n">
        <v>1038.339</v>
      </c>
      <c r="H927" s="6" t="s">
        <v>792</v>
      </c>
      <c r="I927" s="0" t="n">
        <v>0.4</v>
      </c>
      <c r="J927" s="0" t="n">
        <f aca="false">CONVERT(G927,"m^2","ha")</f>
        <v>0.1038339</v>
      </c>
      <c r="K927" s="0" t="b">
        <f aca="false">IF(J927&gt;(I927*2),((ROUNDDOWN(J927/I927,0))-1))</f>
        <v>0</v>
      </c>
    </row>
    <row r="928" customFormat="false" ht="12.75" hidden="false" customHeight="false" outlineLevel="0" collapsed="false">
      <c r="A928" s="5" t="n">
        <v>1722</v>
      </c>
      <c r="B928" s="6" t="s">
        <v>2643</v>
      </c>
      <c r="C928" s="6" t="s">
        <v>12</v>
      </c>
      <c r="D928" s="6" t="s">
        <v>2644</v>
      </c>
      <c r="E928" s="6" t="s">
        <v>14</v>
      </c>
      <c r="F928" s="6" t="n">
        <v>856.27657012</v>
      </c>
      <c r="G928" s="6" t="n">
        <v>856.277</v>
      </c>
      <c r="H928" s="6" t="s">
        <v>792</v>
      </c>
      <c r="I928" s="0" t="n">
        <v>0.4</v>
      </c>
      <c r="J928" s="0" t="n">
        <f aca="false">CONVERT(G928,"m^2","ha")</f>
        <v>0.0856277</v>
      </c>
      <c r="K928" s="0" t="b">
        <f aca="false">IF(J928&gt;(I928*2),((ROUNDDOWN(J928/I928,0))-1))</f>
        <v>0</v>
      </c>
    </row>
    <row r="929" customFormat="false" ht="12.75" hidden="false" customHeight="false" outlineLevel="0" collapsed="false">
      <c r="A929" s="5" t="n">
        <v>1724</v>
      </c>
      <c r="B929" s="6" t="s">
        <v>2645</v>
      </c>
      <c r="C929" s="6" t="s">
        <v>12</v>
      </c>
      <c r="D929" s="6" t="s">
        <v>2646</v>
      </c>
      <c r="E929" s="6" t="s">
        <v>14</v>
      </c>
      <c r="F929" s="6" t="n">
        <v>846.902905025</v>
      </c>
      <c r="G929" s="6" t="n">
        <v>846.903</v>
      </c>
      <c r="H929" s="6" t="s">
        <v>792</v>
      </c>
      <c r="I929" s="0" t="n">
        <v>0.4</v>
      </c>
      <c r="J929" s="0" t="n">
        <f aca="false">CONVERT(G929,"m^2","ha")</f>
        <v>0.0846903</v>
      </c>
      <c r="K929" s="0" t="b">
        <f aca="false">IF(J929&gt;(I929*2),((ROUNDDOWN(J929/I929,0))-1))</f>
        <v>0</v>
      </c>
    </row>
    <row r="930" customFormat="false" ht="12.75" hidden="false" customHeight="false" outlineLevel="0" collapsed="false">
      <c r="A930" s="5" t="n">
        <v>1736</v>
      </c>
      <c r="B930" s="6" t="s">
        <v>2647</v>
      </c>
      <c r="C930" s="6" t="s">
        <v>12</v>
      </c>
      <c r="D930" s="6" t="s">
        <v>2648</v>
      </c>
      <c r="E930" s="6" t="s">
        <v>14</v>
      </c>
      <c r="F930" s="6" t="n">
        <v>3938.24414252</v>
      </c>
      <c r="G930" s="6" t="n">
        <v>3938.244</v>
      </c>
      <c r="H930" s="6" t="s">
        <v>792</v>
      </c>
      <c r="I930" s="0" t="n">
        <v>0.4</v>
      </c>
      <c r="J930" s="0" t="n">
        <f aca="false">CONVERT(G930,"m^2","ha")</f>
        <v>0.3938244</v>
      </c>
      <c r="K930" s="0" t="b">
        <f aca="false">IF(J930&gt;(I930*2),((ROUNDDOWN(J930/I930,0))-1))</f>
        <v>0</v>
      </c>
    </row>
    <row r="931" customFormat="false" ht="12.75" hidden="false" customHeight="false" outlineLevel="0" collapsed="false">
      <c r="A931" s="5" t="n">
        <v>1737</v>
      </c>
      <c r="B931" s="6" t="s">
        <v>2649</v>
      </c>
      <c r="C931" s="6" t="s">
        <v>12</v>
      </c>
      <c r="D931" s="6" t="s">
        <v>2650</v>
      </c>
      <c r="E931" s="6" t="s">
        <v>14</v>
      </c>
      <c r="F931" s="6" t="n">
        <v>3957.62988598</v>
      </c>
      <c r="G931" s="6" t="n">
        <v>3957.63</v>
      </c>
      <c r="H931" s="6" t="s">
        <v>792</v>
      </c>
      <c r="I931" s="0" t="n">
        <v>0.4</v>
      </c>
      <c r="J931" s="0" t="n">
        <f aca="false">CONVERT(G931,"m^2","ha")</f>
        <v>0.395763</v>
      </c>
      <c r="K931" s="0" t="b">
        <f aca="false">IF(J931&gt;(I931*2),((ROUNDDOWN(J931/I931,0))-1))</f>
        <v>0</v>
      </c>
    </row>
    <row r="932" customFormat="false" ht="12.75" hidden="false" customHeight="false" outlineLevel="0" collapsed="false">
      <c r="A932" s="5" t="n">
        <v>1738</v>
      </c>
      <c r="B932" s="6" t="s">
        <v>2651</v>
      </c>
      <c r="C932" s="6" t="s">
        <v>89</v>
      </c>
      <c r="D932" s="6" t="s">
        <v>2652</v>
      </c>
      <c r="E932" s="6" t="s">
        <v>14</v>
      </c>
      <c r="F932" s="6" t="n">
        <v>2346.378205185</v>
      </c>
      <c r="G932" s="6" t="n">
        <v>2346.378</v>
      </c>
      <c r="H932" s="6" t="s">
        <v>792</v>
      </c>
      <c r="I932" s="0" t="n">
        <v>0.4</v>
      </c>
      <c r="J932" s="0" t="n">
        <f aca="false">CONVERT(G932,"m^2","ha")</f>
        <v>0.2346378</v>
      </c>
      <c r="K932" s="0" t="b">
        <f aca="false">IF(J932&gt;(I932*2),((ROUNDDOWN(J932/I932,0))-1))</f>
        <v>0</v>
      </c>
    </row>
    <row r="933" customFormat="false" ht="12.75" hidden="false" customHeight="false" outlineLevel="0" collapsed="false">
      <c r="A933" s="5" t="n">
        <v>1739</v>
      </c>
      <c r="B933" s="6" t="s">
        <v>2653</v>
      </c>
      <c r="C933" s="6" t="s">
        <v>12</v>
      </c>
      <c r="D933" s="6" t="s">
        <v>2654</v>
      </c>
      <c r="E933" s="6" t="s">
        <v>14</v>
      </c>
      <c r="F933" s="6" t="n">
        <v>1733.157609955</v>
      </c>
      <c r="G933" s="6" t="n">
        <v>1733.158</v>
      </c>
      <c r="H933" s="6" t="s">
        <v>792</v>
      </c>
      <c r="I933" s="0" t="n">
        <v>0.4</v>
      </c>
      <c r="J933" s="0" t="n">
        <f aca="false">CONVERT(G933,"m^2","ha")</f>
        <v>0.1733158</v>
      </c>
      <c r="K933" s="0" t="b">
        <f aca="false">IF(J933&gt;(I933*2),((ROUNDDOWN(J933/I933,0))-1))</f>
        <v>0</v>
      </c>
    </row>
    <row r="934" customFormat="false" ht="12.75" hidden="false" customHeight="false" outlineLevel="0" collapsed="false">
      <c r="A934" s="5" t="n">
        <v>1740</v>
      </c>
      <c r="B934" s="6" t="s">
        <v>2655</v>
      </c>
      <c r="C934" s="6" t="s">
        <v>12</v>
      </c>
      <c r="D934" s="6" t="s">
        <v>2656</v>
      </c>
      <c r="E934" s="6" t="s">
        <v>14</v>
      </c>
      <c r="F934" s="6" t="n">
        <v>9378.243660715</v>
      </c>
      <c r="G934" s="6" t="n">
        <v>9378.244</v>
      </c>
      <c r="H934" s="6" t="s">
        <v>792</v>
      </c>
      <c r="I934" s="0" t="n">
        <v>0.4</v>
      </c>
      <c r="J934" s="0" t="n">
        <f aca="false">CONVERT(G934,"m^2","ha")</f>
        <v>0.9378244</v>
      </c>
      <c r="K934" s="0" t="n">
        <f aca="false">IF(J934&gt;(I934*2),((ROUNDDOWN(J934/I934,0))-1))</f>
        <v>1</v>
      </c>
    </row>
    <row r="935" customFormat="false" ht="12.75" hidden="false" customHeight="false" outlineLevel="0" collapsed="false">
      <c r="A935" s="5" t="n">
        <v>1741</v>
      </c>
      <c r="B935" s="6" t="s">
        <v>2657</v>
      </c>
      <c r="C935" s="6" t="s">
        <v>12</v>
      </c>
      <c r="D935" s="6" t="s">
        <v>2658</v>
      </c>
      <c r="E935" s="6" t="s">
        <v>14</v>
      </c>
      <c r="F935" s="6" t="n">
        <v>1365.378972135</v>
      </c>
      <c r="G935" s="6" t="n">
        <v>1365.379</v>
      </c>
      <c r="H935" s="6" t="s">
        <v>792</v>
      </c>
      <c r="I935" s="0" t="n">
        <v>0.4</v>
      </c>
      <c r="J935" s="0" t="n">
        <f aca="false">CONVERT(G935,"m^2","ha")</f>
        <v>0.1365379</v>
      </c>
      <c r="K935" s="0" t="b">
        <f aca="false">IF(J935&gt;(I935*2),((ROUNDDOWN(J935/I935,0))-1))</f>
        <v>0</v>
      </c>
    </row>
    <row r="936" customFormat="false" ht="12.75" hidden="false" customHeight="false" outlineLevel="0" collapsed="false">
      <c r="A936" s="5" t="n">
        <v>1742</v>
      </c>
      <c r="B936" s="6" t="s">
        <v>2659</v>
      </c>
      <c r="C936" s="6" t="s">
        <v>89</v>
      </c>
      <c r="D936" s="6" t="s">
        <v>2660</v>
      </c>
      <c r="E936" s="6" t="s">
        <v>14</v>
      </c>
      <c r="F936" s="6" t="n">
        <v>2728.788785225</v>
      </c>
      <c r="G936" s="6" t="n">
        <v>2728.789</v>
      </c>
      <c r="H936" s="6" t="s">
        <v>792</v>
      </c>
      <c r="I936" s="0" t="n">
        <v>0.4</v>
      </c>
      <c r="J936" s="0" t="n">
        <f aca="false">CONVERT(G936,"m^2","ha")</f>
        <v>0.2728789</v>
      </c>
      <c r="K936" s="0" t="b">
        <f aca="false">IF(J936&gt;(I936*2),((ROUNDDOWN(J936/I936,0))-1))</f>
        <v>0</v>
      </c>
    </row>
    <row r="937" customFormat="false" ht="12.75" hidden="false" customHeight="false" outlineLevel="0" collapsed="false">
      <c r="A937" s="5" t="n">
        <v>1743</v>
      </c>
      <c r="B937" s="6" t="s">
        <v>2661</v>
      </c>
      <c r="C937" s="6" t="s">
        <v>89</v>
      </c>
      <c r="D937" s="6" t="s">
        <v>2662</v>
      </c>
      <c r="E937" s="6" t="s">
        <v>14</v>
      </c>
      <c r="F937" s="6" t="n">
        <v>2487.820496355</v>
      </c>
      <c r="G937" s="6" t="n">
        <v>2487.82</v>
      </c>
      <c r="H937" s="6" t="s">
        <v>792</v>
      </c>
      <c r="I937" s="0" t="n">
        <v>0.4</v>
      </c>
      <c r="J937" s="0" t="n">
        <f aca="false">CONVERT(G937,"m^2","ha")</f>
        <v>0.248782</v>
      </c>
      <c r="K937" s="0" t="b">
        <f aca="false">IF(J937&gt;(I937*2),((ROUNDDOWN(J937/I937,0))-1))</f>
        <v>0</v>
      </c>
    </row>
    <row r="938" customFormat="false" ht="12.75" hidden="false" customHeight="false" outlineLevel="0" collapsed="false">
      <c r="A938" s="5" t="n">
        <v>1744</v>
      </c>
      <c r="B938" s="6" t="s">
        <v>2663</v>
      </c>
      <c r="C938" s="6" t="s">
        <v>12</v>
      </c>
      <c r="D938" s="6" t="s">
        <v>2664</v>
      </c>
      <c r="E938" s="6" t="s">
        <v>14</v>
      </c>
      <c r="F938" s="6" t="n">
        <v>11843.41715086</v>
      </c>
      <c r="G938" s="6" t="n">
        <v>11843.417</v>
      </c>
      <c r="H938" s="6" t="s">
        <v>792</v>
      </c>
      <c r="I938" s="0" t="n">
        <v>0.4</v>
      </c>
      <c r="J938" s="0" t="n">
        <f aca="false">CONVERT(G938,"m^2","ha")</f>
        <v>1.1843417</v>
      </c>
      <c r="K938" s="0" t="n">
        <f aca="false">IF(J938&gt;(I938*2),((ROUNDDOWN(J938/I938,0))-1))</f>
        <v>1</v>
      </c>
    </row>
    <row r="939" customFormat="false" ht="12.75" hidden="false" customHeight="false" outlineLevel="0" collapsed="false">
      <c r="A939" s="5" t="n">
        <v>1745</v>
      </c>
      <c r="B939" s="6" t="s">
        <v>2665</v>
      </c>
      <c r="C939" s="6" t="s">
        <v>89</v>
      </c>
      <c r="D939" s="6" t="s">
        <v>2666</v>
      </c>
      <c r="E939" s="6" t="s">
        <v>14</v>
      </c>
      <c r="F939" s="6" t="n">
        <v>2369.92567683</v>
      </c>
      <c r="G939" s="6" t="n">
        <v>2369.926</v>
      </c>
      <c r="H939" s="6" t="s">
        <v>792</v>
      </c>
      <c r="I939" s="0" t="n">
        <v>0.4</v>
      </c>
      <c r="J939" s="0" t="n">
        <f aca="false">CONVERT(G939,"m^2","ha")</f>
        <v>0.2369926</v>
      </c>
      <c r="K939" s="0" t="b">
        <f aca="false">IF(J939&gt;(I939*2),((ROUNDDOWN(J939/I939,0))-1))</f>
        <v>0</v>
      </c>
    </row>
    <row r="940" customFormat="false" ht="12.75" hidden="false" customHeight="false" outlineLevel="0" collapsed="false">
      <c r="A940" s="5" t="n">
        <v>1746</v>
      </c>
      <c r="B940" s="6" t="s">
        <v>2667</v>
      </c>
      <c r="C940" s="6" t="s">
        <v>12</v>
      </c>
      <c r="D940" s="6" t="s">
        <v>2668</v>
      </c>
      <c r="E940" s="6" t="s">
        <v>14</v>
      </c>
      <c r="F940" s="6" t="n">
        <v>4007.54843214</v>
      </c>
      <c r="G940" s="6" t="n">
        <v>4007.548</v>
      </c>
      <c r="H940" s="6" t="s">
        <v>792</v>
      </c>
      <c r="I940" s="0" t="n">
        <v>0.4</v>
      </c>
      <c r="J940" s="0" t="n">
        <f aca="false">CONVERT(G940,"m^2","ha")</f>
        <v>0.4007548</v>
      </c>
      <c r="K940" s="0" t="b">
        <f aca="false">IF(J940&gt;(I940*2),((ROUNDDOWN(J940/I940,0))-1))</f>
        <v>0</v>
      </c>
    </row>
    <row r="941" customFormat="false" ht="12.75" hidden="false" customHeight="false" outlineLevel="0" collapsed="false">
      <c r="A941" s="5" t="n">
        <v>1747</v>
      </c>
      <c r="B941" s="6" t="s">
        <v>2669</v>
      </c>
      <c r="C941" s="6" t="s">
        <v>12</v>
      </c>
      <c r="D941" s="6" t="s">
        <v>2670</v>
      </c>
      <c r="E941" s="6" t="s">
        <v>14</v>
      </c>
      <c r="F941" s="6" t="n">
        <v>4435.801454315</v>
      </c>
      <c r="G941" s="6" t="n">
        <v>4435.801</v>
      </c>
      <c r="H941" s="6" t="s">
        <v>792</v>
      </c>
      <c r="I941" s="0" t="n">
        <v>0.4</v>
      </c>
      <c r="J941" s="0" t="n">
        <f aca="false">CONVERT(G941,"m^2","ha")</f>
        <v>0.4435801</v>
      </c>
      <c r="K941" s="0" t="b">
        <f aca="false">IF(J941&gt;(I941*2),((ROUNDDOWN(J941/I941,0))-1))</f>
        <v>0</v>
      </c>
    </row>
    <row r="942" customFormat="false" ht="12.75" hidden="false" customHeight="false" outlineLevel="0" collapsed="false">
      <c r="A942" s="5" t="n">
        <v>1749</v>
      </c>
      <c r="B942" s="6" t="s">
        <v>2671</v>
      </c>
      <c r="C942" s="6" t="s">
        <v>89</v>
      </c>
      <c r="D942" s="6" t="s">
        <v>2672</v>
      </c>
      <c r="E942" s="6" t="s">
        <v>14</v>
      </c>
      <c r="F942" s="6" t="n">
        <v>2507.017254035</v>
      </c>
      <c r="G942" s="6" t="n">
        <v>2507.017</v>
      </c>
      <c r="H942" s="6" t="s">
        <v>792</v>
      </c>
      <c r="I942" s="0" t="n">
        <v>0.4</v>
      </c>
      <c r="J942" s="0" t="n">
        <f aca="false">CONVERT(G942,"m^2","ha")</f>
        <v>0.2507017</v>
      </c>
      <c r="K942" s="0" t="b">
        <f aca="false">IF(J942&gt;(I942*2),((ROUNDDOWN(J942/I942,0))-1))</f>
        <v>0</v>
      </c>
    </row>
    <row r="943" customFormat="false" ht="12.75" hidden="false" customHeight="false" outlineLevel="0" collapsed="false">
      <c r="A943" s="5" t="n">
        <v>1750</v>
      </c>
      <c r="B943" s="6" t="s">
        <v>2673</v>
      </c>
      <c r="C943" s="6" t="s">
        <v>12</v>
      </c>
      <c r="D943" s="6" t="s">
        <v>2674</v>
      </c>
      <c r="E943" s="6" t="s">
        <v>14</v>
      </c>
      <c r="F943" s="6" t="n">
        <v>5083.96223144</v>
      </c>
      <c r="G943" s="6" t="n">
        <v>5083.962</v>
      </c>
      <c r="H943" s="6" t="s">
        <v>792</v>
      </c>
      <c r="I943" s="0" t="n">
        <v>0.4</v>
      </c>
      <c r="J943" s="0" t="n">
        <f aca="false">CONVERT(G943,"m^2","ha")</f>
        <v>0.5083962</v>
      </c>
      <c r="K943" s="0" t="b">
        <f aca="false">IF(J943&gt;(I943*2),((ROUNDDOWN(J943/I943,0))-1))</f>
        <v>0</v>
      </c>
    </row>
    <row r="944" customFormat="false" ht="12.75" hidden="false" customHeight="false" outlineLevel="0" collapsed="false">
      <c r="A944" s="5" t="n">
        <v>1751</v>
      </c>
      <c r="B944" s="6" t="s">
        <v>2675</v>
      </c>
      <c r="C944" s="6" t="s">
        <v>89</v>
      </c>
      <c r="D944" s="6" t="s">
        <v>2676</v>
      </c>
      <c r="E944" s="6" t="s">
        <v>14</v>
      </c>
      <c r="F944" s="6" t="n">
        <v>4026.33662748</v>
      </c>
      <c r="G944" s="6" t="n">
        <v>4026.337</v>
      </c>
      <c r="H944" s="6" t="s">
        <v>792</v>
      </c>
      <c r="I944" s="0" t="n">
        <v>0.4</v>
      </c>
      <c r="J944" s="0" t="n">
        <f aca="false">CONVERT(G944,"m^2","ha")</f>
        <v>0.4026337</v>
      </c>
      <c r="K944" s="0" t="b">
        <f aca="false">IF(J944&gt;(I944*2),((ROUNDDOWN(J944/I944,0))-1))</f>
        <v>0</v>
      </c>
    </row>
    <row r="945" customFormat="false" ht="12.75" hidden="false" customHeight="false" outlineLevel="0" collapsed="false">
      <c r="A945" s="5" t="n">
        <v>1752</v>
      </c>
      <c r="B945" s="6" t="s">
        <v>2677</v>
      </c>
      <c r="C945" s="6" t="s">
        <v>89</v>
      </c>
      <c r="D945" s="6" t="s">
        <v>2678</v>
      </c>
      <c r="E945" s="6" t="s">
        <v>14</v>
      </c>
      <c r="F945" s="6" t="n">
        <v>2461.94301528</v>
      </c>
      <c r="G945" s="6" t="n">
        <v>2461.711</v>
      </c>
      <c r="H945" s="6" t="s">
        <v>792</v>
      </c>
      <c r="I945" s="0" t="n">
        <v>0.4</v>
      </c>
      <c r="J945" s="0" t="n">
        <f aca="false">CONVERT(G945,"m^2","ha")</f>
        <v>0.2461711</v>
      </c>
      <c r="K945" s="0" t="b">
        <f aca="false">IF(J945&gt;(I945*2),((ROUNDDOWN(J945/I945,0))-1))</f>
        <v>0</v>
      </c>
    </row>
    <row r="946" customFormat="false" ht="12.75" hidden="false" customHeight="false" outlineLevel="0" collapsed="false">
      <c r="A946" s="5" t="n">
        <v>1754</v>
      </c>
      <c r="B946" s="6" t="s">
        <v>2679</v>
      </c>
      <c r="C946" s="6" t="s">
        <v>12</v>
      </c>
      <c r="D946" s="6" t="s">
        <v>2680</v>
      </c>
      <c r="E946" s="6" t="s">
        <v>14</v>
      </c>
      <c r="F946" s="6" t="n">
        <v>4430.44530144</v>
      </c>
      <c r="G946" s="6" t="n">
        <v>4430.445</v>
      </c>
      <c r="H946" s="6" t="s">
        <v>792</v>
      </c>
      <c r="I946" s="0" t="n">
        <v>0.4</v>
      </c>
      <c r="J946" s="0" t="n">
        <f aca="false">CONVERT(G946,"m^2","ha")</f>
        <v>0.4430445</v>
      </c>
      <c r="K946" s="0" t="b">
        <f aca="false">IF(J946&gt;(I946*2),((ROUNDDOWN(J946/I946,0))-1))</f>
        <v>0</v>
      </c>
    </row>
    <row r="947" customFormat="false" ht="12.75" hidden="false" customHeight="false" outlineLevel="0" collapsed="false">
      <c r="A947" s="5" t="n">
        <v>1755</v>
      </c>
      <c r="B947" s="6" t="s">
        <v>2681</v>
      </c>
      <c r="C947" s="6" t="s">
        <v>89</v>
      </c>
      <c r="D947" s="6" t="s">
        <v>2682</v>
      </c>
      <c r="E947" s="6" t="s">
        <v>14</v>
      </c>
      <c r="F947" s="6" t="n">
        <v>2040.256265775</v>
      </c>
      <c r="G947" s="6" t="n">
        <v>2040.256</v>
      </c>
      <c r="H947" s="6" t="s">
        <v>792</v>
      </c>
      <c r="I947" s="0" t="n">
        <v>0.4</v>
      </c>
      <c r="J947" s="0" t="n">
        <f aca="false">CONVERT(G947,"m^2","ha")</f>
        <v>0.2040256</v>
      </c>
      <c r="K947" s="0" t="b">
        <f aca="false">IF(J947&gt;(I947*2),((ROUNDDOWN(J947/I947,0))-1))</f>
        <v>0</v>
      </c>
    </row>
    <row r="948" customFormat="false" ht="12.75" hidden="false" customHeight="false" outlineLevel="0" collapsed="false">
      <c r="A948" s="5" t="n">
        <v>1756</v>
      </c>
      <c r="B948" s="6" t="s">
        <v>2683</v>
      </c>
      <c r="C948" s="6" t="s">
        <v>12</v>
      </c>
      <c r="D948" s="6" t="s">
        <v>2684</v>
      </c>
      <c r="E948" s="6" t="s">
        <v>14</v>
      </c>
      <c r="F948" s="6" t="n">
        <v>4657.93391646</v>
      </c>
      <c r="G948" s="6" t="n">
        <v>4657.934</v>
      </c>
      <c r="H948" s="6" t="s">
        <v>792</v>
      </c>
      <c r="I948" s="0" t="n">
        <v>0.4</v>
      </c>
      <c r="J948" s="0" t="n">
        <f aca="false">CONVERT(G948,"m^2","ha")</f>
        <v>0.4657934</v>
      </c>
      <c r="K948" s="0" t="b">
        <f aca="false">IF(J948&gt;(I948*2),((ROUNDDOWN(J948/I948,0))-1))</f>
        <v>0</v>
      </c>
    </row>
    <row r="949" customFormat="false" ht="12.75" hidden="false" customHeight="false" outlineLevel="0" collapsed="false">
      <c r="A949" s="5" t="n">
        <v>1757</v>
      </c>
      <c r="B949" s="6" t="s">
        <v>2685</v>
      </c>
      <c r="C949" s="6" t="s">
        <v>89</v>
      </c>
      <c r="D949" s="6" t="s">
        <v>2686</v>
      </c>
      <c r="E949" s="6" t="s">
        <v>14</v>
      </c>
      <c r="F949" s="6" t="n">
        <v>2410.435977835</v>
      </c>
      <c r="G949" s="6" t="n">
        <v>2409.99</v>
      </c>
      <c r="H949" s="6" t="s">
        <v>792</v>
      </c>
      <c r="I949" s="0" t="n">
        <v>0.4</v>
      </c>
      <c r="J949" s="0" t="n">
        <f aca="false">CONVERT(G949,"m^2","ha")</f>
        <v>0.240999</v>
      </c>
      <c r="K949" s="0" t="b">
        <f aca="false">IF(J949&gt;(I949*2),((ROUNDDOWN(J949/I949,0))-1))</f>
        <v>0</v>
      </c>
    </row>
    <row r="950" customFormat="false" ht="12.75" hidden="false" customHeight="false" outlineLevel="0" collapsed="false">
      <c r="A950" s="5" t="n">
        <v>1758</v>
      </c>
      <c r="B950" s="6" t="s">
        <v>2687</v>
      </c>
      <c r="C950" s="6" t="s">
        <v>12</v>
      </c>
      <c r="D950" s="6" t="s">
        <v>2688</v>
      </c>
      <c r="E950" s="6" t="s">
        <v>14</v>
      </c>
      <c r="F950" s="6" t="n">
        <v>8141.61731312</v>
      </c>
      <c r="G950" s="6" t="n">
        <v>8141.617</v>
      </c>
      <c r="H950" s="6" t="s">
        <v>792</v>
      </c>
      <c r="I950" s="0" t="n">
        <v>0.4</v>
      </c>
      <c r="J950" s="0" t="n">
        <f aca="false">CONVERT(G950,"m^2","ha")</f>
        <v>0.8141617</v>
      </c>
      <c r="K950" s="0" t="n">
        <f aca="false">IF(J950&gt;(I950*2),((ROUNDDOWN(J950/I950,0))-1))</f>
        <v>1</v>
      </c>
    </row>
    <row r="951" customFormat="false" ht="12.75" hidden="false" customHeight="false" outlineLevel="0" collapsed="false">
      <c r="A951" s="5" t="n">
        <v>1759</v>
      </c>
      <c r="B951" s="6" t="s">
        <v>2689</v>
      </c>
      <c r="C951" s="6" t="s">
        <v>12</v>
      </c>
      <c r="D951" s="6" t="s">
        <v>2690</v>
      </c>
      <c r="E951" s="6" t="s">
        <v>14</v>
      </c>
      <c r="F951" s="6" t="n">
        <v>1767.365139365</v>
      </c>
      <c r="G951" s="6" t="n">
        <v>1767.365</v>
      </c>
      <c r="H951" s="6" t="s">
        <v>792</v>
      </c>
      <c r="I951" s="0" t="n">
        <v>0.4</v>
      </c>
      <c r="J951" s="0" t="n">
        <f aca="false">CONVERT(G951,"m^2","ha")</f>
        <v>0.1767365</v>
      </c>
      <c r="K951" s="0" t="b">
        <f aca="false">IF(J951&gt;(I951*2),((ROUNDDOWN(J951/I951,0))-1))</f>
        <v>0</v>
      </c>
    </row>
    <row r="952" customFormat="false" ht="12.75" hidden="false" customHeight="false" outlineLevel="0" collapsed="false">
      <c r="A952" s="5" t="n">
        <v>1760</v>
      </c>
      <c r="B952" s="6" t="s">
        <v>2691</v>
      </c>
      <c r="C952" s="6" t="s">
        <v>89</v>
      </c>
      <c r="D952" s="6" t="s">
        <v>2692</v>
      </c>
      <c r="E952" s="6" t="s">
        <v>14</v>
      </c>
      <c r="F952" s="6" t="n">
        <v>4817.72615949</v>
      </c>
      <c r="G952" s="6" t="n">
        <v>4817.726</v>
      </c>
      <c r="H952" s="6" t="s">
        <v>792</v>
      </c>
      <c r="I952" s="0" t="n">
        <v>0.4</v>
      </c>
      <c r="J952" s="0" t="n">
        <f aca="false">CONVERT(G952,"m^2","ha")</f>
        <v>0.4817726</v>
      </c>
      <c r="K952" s="0" t="b">
        <f aca="false">IF(J952&gt;(I952*2),((ROUNDDOWN(J952/I952,0))-1))</f>
        <v>0</v>
      </c>
    </row>
    <row r="953" customFormat="false" ht="12.75" hidden="false" customHeight="false" outlineLevel="0" collapsed="false">
      <c r="A953" s="5" t="n">
        <v>1761</v>
      </c>
      <c r="B953" s="6" t="s">
        <v>2693</v>
      </c>
      <c r="C953" s="6" t="s">
        <v>89</v>
      </c>
      <c r="D953" s="6" t="s">
        <v>2694</v>
      </c>
      <c r="E953" s="6" t="s">
        <v>14</v>
      </c>
      <c r="F953" s="6" t="n">
        <v>5342.65062182</v>
      </c>
      <c r="G953" s="6" t="n">
        <v>5342.651</v>
      </c>
      <c r="H953" s="6" t="s">
        <v>792</v>
      </c>
      <c r="I953" s="0" t="n">
        <v>0.4</v>
      </c>
      <c r="J953" s="0" t="n">
        <f aca="false">CONVERT(G953,"m^2","ha")</f>
        <v>0.5342651</v>
      </c>
      <c r="K953" s="0" t="b">
        <f aca="false">IF(J953&gt;(I953*2),((ROUNDDOWN(J953/I953,0))-1))</f>
        <v>0</v>
      </c>
    </row>
    <row r="954" customFormat="false" ht="12.75" hidden="false" customHeight="false" outlineLevel="0" collapsed="false">
      <c r="A954" s="5" t="n">
        <v>1762</v>
      </c>
      <c r="B954" s="6" t="s">
        <v>2695</v>
      </c>
      <c r="C954" s="6" t="s">
        <v>12</v>
      </c>
      <c r="D954" s="6" t="s">
        <v>2696</v>
      </c>
      <c r="E954" s="6" t="s">
        <v>14</v>
      </c>
      <c r="F954" s="6" t="n">
        <v>1556.92988751</v>
      </c>
      <c r="G954" s="6" t="n">
        <v>1556.93</v>
      </c>
      <c r="H954" s="6" t="s">
        <v>792</v>
      </c>
      <c r="I954" s="0" t="n">
        <v>0.4</v>
      </c>
      <c r="J954" s="0" t="n">
        <f aca="false">CONVERT(G954,"m^2","ha")</f>
        <v>0.155693</v>
      </c>
      <c r="K954" s="0" t="b">
        <f aca="false">IF(J954&gt;(I954*2),((ROUNDDOWN(J954/I954,0))-1))</f>
        <v>0</v>
      </c>
    </row>
    <row r="955" customFormat="false" ht="12.75" hidden="false" customHeight="false" outlineLevel="0" collapsed="false">
      <c r="A955" s="5" t="n">
        <v>1763</v>
      </c>
      <c r="B955" s="6" t="s">
        <v>2697</v>
      </c>
      <c r="C955" s="6" t="s">
        <v>12</v>
      </c>
      <c r="D955" s="6" t="s">
        <v>2698</v>
      </c>
      <c r="E955" s="6" t="s">
        <v>14</v>
      </c>
      <c r="F955" s="6" t="n">
        <v>4982.172767465</v>
      </c>
      <c r="G955" s="6" t="n">
        <v>4982.173</v>
      </c>
      <c r="H955" s="6" t="s">
        <v>792</v>
      </c>
      <c r="I955" s="0" t="n">
        <v>0.4</v>
      </c>
      <c r="J955" s="0" t="n">
        <f aca="false">CONVERT(G955,"m^2","ha")</f>
        <v>0.4982173</v>
      </c>
      <c r="K955" s="0" t="b">
        <f aca="false">IF(J955&gt;(I955*2),((ROUNDDOWN(J955/I955,0))-1))</f>
        <v>0</v>
      </c>
    </row>
    <row r="956" customFormat="false" ht="12.75" hidden="false" customHeight="false" outlineLevel="0" collapsed="false">
      <c r="A956" s="5" t="n">
        <v>1764</v>
      </c>
      <c r="B956" s="6" t="s">
        <v>2699</v>
      </c>
      <c r="C956" s="6" t="s">
        <v>89</v>
      </c>
      <c r="D956" s="6" t="s">
        <v>2700</v>
      </c>
      <c r="E956" s="6" t="s">
        <v>14</v>
      </c>
      <c r="F956" s="6" t="n">
        <v>3330.00520455</v>
      </c>
      <c r="G956" s="6" t="n">
        <v>3330.005</v>
      </c>
      <c r="H956" s="6" t="s">
        <v>792</v>
      </c>
      <c r="I956" s="0" t="n">
        <v>0.4</v>
      </c>
      <c r="J956" s="0" t="n">
        <f aca="false">CONVERT(G956,"m^2","ha")</f>
        <v>0.3330005</v>
      </c>
      <c r="K956" s="0" t="b">
        <f aca="false">IF(J956&gt;(I956*2),((ROUNDDOWN(J956/I956,0))-1))</f>
        <v>0</v>
      </c>
    </row>
    <row r="957" customFormat="false" ht="12.75" hidden="false" customHeight="false" outlineLevel="0" collapsed="false">
      <c r="A957" s="5" t="n">
        <v>1765</v>
      </c>
      <c r="B957" s="6" t="s">
        <v>2701</v>
      </c>
      <c r="C957" s="6" t="s">
        <v>89</v>
      </c>
      <c r="D957" s="6" t="s">
        <v>2702</v>
      </c>
      <c r="E957" s="6" t="s">
        <v>14</v>
      </c>
      <c r="F957" s="6" t="n">
        <v>2450.462379185</v>
      </c>
      <c r="G957" s="6" t="n">
        <v>2450.441</v>
      </c>
      <c r="H957" s="6" t="s">
        <v>792</v>
      </c>
      <c r="I957" s="0" t="n">
        <v>0.4</v>
      </c>
      <c r="J957" s="0" t="n">
        <f aca="false">CONVERT(G957,"m^2","ha")</f>
        <v>0.2450441</v>
      </c>
      <c r="K957" s="0" t="b">
        <f aca="false">IF(J957&gt;(I957*2),((ROUNDDOWN(J957/I957,0))-1))</f>
        <v>0</v>
      </c>
    </row>
    <row r="958" customFormat="false" ht="12.75" hidden="false" customHeight="false" outlineLevel="0" collapsed="false">
      <c r="A958" s="5" t="n">
        <v>1766</v>
      </c>
      <c r="B958" s="6" t="s">
        <v>2703</v>
      </c>
      <c r="C958" s="6" t="s">
        <v>89</v>
      </c>
      <c r="D958" s="6" t="s">
        <v>2704</v>
      </c>
      <c r="E958" s="6" t="s">
        <v>14</v>
      </c>
      <c r="F958" s="6" t="n">
        <v>1881.98807047</v>
      </c>
      <c r="G958" s="6" t="n">
        <v>1881.988</v>
      </c>
      <c r="H958" s="6" t="s">
        <v>792</v>
      </c>
      <c r="I958" s="0" t="n">
        <v>0.4</v>
      </c>
      <c r="J958" s="0" t="n">
        <f aca="false">CONVERT(G958,"m^2","ha")</f>
        <v>0.1881988</v>
      </c>
      <c r="K958" s="0" t="b">
        <f aca="false">IF(J958&gt;(I958*2),((ROUNDDOWN(J958/I958,0))-1))</f>
        <v>0</v>
      </c>
    </row>
    <row r="959" customFormat="false" ht="12.75" hidden="false" customHeight="false" outlineLevel="0" collapsed="false">
      <c r="A959" s="5" t="n">
        <v>1767</v>
      </c>
      <c r="B959" s="6" t="s">
        <v>2705</v>
      </c>
      <c r="C959" s="6" t="s">
        <v>12</v>
      </c>
      <c r="D959" s="6" t="s">
        <v>2706</v>
      </c>
      <c r="E959" s="6" t="s">
        <v>14</v>
      </c>
      <c r="F959" s="6" t="n">
        <v>5502.373967535</v>
      </c>
      <c r="G959" s="6" t="n">
        <v>5502.374</v>
      </c>
      <c r="H959" s="6" t="s">
        <v>792</v>
      </c>
      <c r="I959" s="0" t="n">
        <v>0.4</v>
      </c>
      <c r="J959" s="0" t="n">
        <f aca="false">CONVERT(G959,"m^2","ha")</f>
        <v>0.5502374</v>
      </c>
      <c r="K959" s="0" t="b">
        <f aca="false">IF(J959&gt;(I959*2),((ROUNDDOWN(J959/I959,0))-1))</f>
        <v>0</v>
      </c>
    </row>
    <row r="960" customFormat="false" ht="12.75" hidden="false" customHeight="false" outlineLevel="0" collapsed="false">
      <c r="A960" s="5" t="n">
        <v>1768</v>
      </c>
      <c r="B960" s="6" t="s">
        <v>2707</v>
      </c>
      <c r="C960" s="6" t="s">
        <v>89</v>
      </c>
      <c r="D960" s="6" t="s">
        <v>2708</v>
      </c>
      <c r="E960" s="6" t="s">
        <v>14</v>
      </c>
      <c r="F960" s="6" t="n">
        <v>2051.974437175</v>
      </c>
      <c r="G960" s="6" t="n">
        <v>2051.974</v>
      </c>
      <c r="H960" s="6" t="s">
        <v>792</v>
      </c>
      <c r="I960" s="0" t="n">
        <v>0.4</v>
      </c>
      <c r="J960" s="0" t="n">
        <f aca="false">CONVERT(G960,"m^2","ha")</f>
        <v>0.2051974</v>
      </c>
      <c r="K960" s="0" t="b">
        <f aca="false">IF(J960&gt;(I960*2),((ROUNDDOWN(J960/I960,0))-1))</f>
        <v>0</v>
      </c>
    </row>
    <row r="961" customFormat="false" ht="12.75" hidden="false" customHeight="false" outlineLevel="0" collapsed="false">
      <c r="A961" s="5" t="n">
        <v>1769</v>
      </c>
      <c r="B961" s="6" t="s">
        <v>2709</v>
      </c>
      <c r="C961" s="6" t="s">
        <v>89</v>
      </c>
      <c r="D961" s="6" t="s">
        <v>2710</v>
      </c>
      <c r="E961" s="6" t="s">
        <v>14</v>
      </c>
      <c r="F961" s="6" t="n">
        <v>2687.686319605</v>
      </c>
      <c r="G961" s="6" t="n">
        <v>2687.686</v>
      </c>
      <c r="H961" s="6" t="s">
        <v>792</v>
      </c>
      <c r="I961" s="0" t="n">
        <v>0.4</v>
      </c>
      <c r="J961" s="0" t="n">
        <f aca="false">CONVERT(G961,"m^2","ha")</f>
        <v>0.2687686</v>
      </c>
      <c r="K961" s="0" t="b">
        <f aca="false">IF(J961&gt;(I961*2),((ROUNDDOWN(J961/I961,0))-1))</f>
        <v>0</v>
      </c>
    </row>
    <row r="962" customFormat="false" ht="12.75" hidden="false" customHeight="false" outlineLevel="0" collapsed="false">
      <c r="A962" s="5" t="n">
        <v>1770</v>
      </c>
      <c r="B962" s="6" t="s">
        <v>2711</v>
      </c>
      <c r="C962" s="6" t="s">
        <v>12</v>
      </c>
      <c r="D962" s="6" t="s">
        <v>2712</v>
      </c>
      <c r="E962" s="6" t="s">
        <v>14</v>
      </c>
      <c r="F962" s="6" t="n">
        <v>1600.012412015</v>
      </c>
      <c r="G962" s="6" t="n">
        <v>1600.012</v>
      </c>
      <c r="H962" s="6" t="s">
        <v>792</v>
      </c>
      <c r="I962" s="0" t="n">
        <v>0.4</v>
      </c>
      <c r="J962" s="0" t="n">
        <f aca="false">CONVERT(G962,"m^2","ha")</f>
        <v>0.1600012</v>
      </c>
      <c r="K962" s="0" t="b">
        <f aca="false">IF(J962&gt;(I962*2),((ROUNDDOWN(J962/I962,0))-1))</f>
        <v>0</v>
      </c>
    </row>
    <row r="963" customFormat="false" ht="12.75" hidden="false" customHeight="false" outlineLevel="0" collapsed="false">
      <c r="A963" s="5" t="n">
        <v>1771</v>
      </c>
      <c r="B963" s="6" t="s">
        <v>2713</v>
      </c>
      <c r="C963" s="6" t="s">
        <v>89</v>
      </c>
      <c r="D963" s="6" t="s">
        <v>2714</v>
      </c>
      <c r="E963" s="6" t="s">
        <v>14</v>
      </c>
      <c r="F963" s="6" t="n">
        <v>2619.116060505</v>
      </c>
      <c r="G963" s="6" t="n">
        <v>2619.116</v>
      </c>
      <c r="H963" s="6" t="s">
        <v>792</v>
      </c>
      <c r="I963" s="0" t="n">
        <v>0.4</v>
      </c>
      <c r="J963" s="0" t="n">
        <f aca="false">CONVERT(G963,"m^2","ha")</f>
        <v>0.2619116</v>
      </c>
      <c r="K963" s="0" t="b">
        <f aca="false">IF(J963&gt;(I963*2),((ROUNDDOWN(J963/I963,0))-1))</f>
        <v>0</v>
      </c>
    </row>
    <row r="964" customFormat="false" ht="12.75" hidden="false" customHeight="false" outlineLevel="0" collapsed="false">
      <c r="A964" s="5" t="n">
        <v>1772</v>
      </c>
      <c r="B964" s="6" t="s">
        <v>2715</v>
      </c>
      <c r="C964" s="6" t="s">
        <v>12</v>
      </c>
      <c r="D964" s="6" t="s">
        <v>2716</v>
      </c>
      <c r="E964" s="6" t="s">
        <v>14</v>
      </c>
      <c r="F964" s="6" t="n">
        <v>8161.44073797</v>
      </c>
      <c r="G964" s="6" t="n">
        <v>8161.441</v>
      </c>
      <c r="H964" s="6" t="s">
        <v>792</v>
      </c>
      <c r="I964" s="0" t="n">
        <v>0.4</v>
      </c>
      <c r="J964" s="0" t="n">
        <f aca="false">CONVERT(G964,"m^2","ha")</f>
        <v>0.8161441</v>
      </c>
      <c r="K964" s="0" t="n">
        <f aca="false">IF(J964&gt;(I964*2),((ROUNDDOWN(J964/I964,0))-1))</f>
        <v>1</v>
      </c>
    </row>
    <row r="965" customFormat="false" ht="12.75" hidden="false" customHeight="false" outlineLevel="0" collapsed="false">
      <c r="A965" s="5" t="n">
        <v>1773</v>
      </c>
      <c r="B965" s="6" t="s">
        <v>2717</v>
      </c>
      <c r="C965" s="6" t="s">
        <v>89</v>
      </c>
      <c r="D965" s="6" t="s">
        <v>2718</v>
      </c>
      <c r="E965" s="6" t="s">
        <v>14</v>
      </c>
      <c r="F965" s="6" t="n">
        <v>4760.656957765</v>
      </c>
      <c r="G965" s="6" t="n">
        <v>4760.657</v>
      </c>
      <c r="H965" s="6" t="s">
        <v>792</v>
      </c>
      <c r="I965" s="0" t="n">
        <v>0.4</v>
      </c>
      <c r="J965" s="0" t="n">
        <f aca="false">CONVERT(G965,"m^2","ha")</f>
        <v>0.4760657</v>
      </c>
      <c r="K965" s="0" t="b">
        <f aca="false">IF(J965&gt;(I965*2),((ROUNDDOWN(J965/I965,0))-1))</f>
        <v>0</v>
      </c>
    </row>
    <row r="966" customFormat="false" ht="12.75" hidden="false" customHeight="false" outlineLevel="0" collapsed="false">
      <c r="A966" s="5" t="n">
        <v>1775</v>
      </c>
      <c r="B966" s="6" t="s">
        <v>2719</v>
      </c>
      <c r="C966" s="6" t="s">
        <v>12</v>
      </c>
      <c r="D966" s="6" t="s">
        <v>2720</v>
      </c>
      <c r="E966" s="6" t="s">
        <v>14</v>
      </c>
      <c r="F966" s="6" t="n">
        <v>2149.63863972</v>
      </c>
      <c r="G966" s="6" t="n">
        <v>2149.639</v>
      </c>
      <c r="H966" s="6" t="s">
        <v>792</v>
      </c>
      <c r="I966" s="0" t="n">
        <v>0.4</v>
      </c>
      <c r="J966" s="0" t="n">
        <f aca="false">CONVERT(G966,"m^2","ha")</f>
        <v>0.2149639</v>
      </c>
      <c r="K966" s="0" t="b">
        <f aca="false">IF(J966&gt;(I966*2),((ROUNDDOWN(J966/I966,0))-1))</f>
        <v>0</v>
      </c>
    </row>
    <row r="967" customFormat="false" ht="12.75" hidden="false" customHeight="false" outlineLevel="0" collapsed="false">
      <c r="A967" s="5" t="n">
        <v>1776</v>
      </c>
      <c r="B967" s="6" t="s">
        <v>2721</v>
      </c>
      <c r="C967" s="6" t="s">
        <v>12</v>
      </c>
      <c r="D967" s="6" t="s">
        <v>2722</v>
      </c>
      <c r="E967" s="6" t="s">
        <v>14</v>
      </c>
      <c r="F967" s="6" t="n">
        <v>5348.83646488</v>
      </c>
      <c r="G967" s="6" t="n">
        <v>5348.836</v>
      </c>
      <c r="H967" s="6" t="s">
        <v>792</v>
      </c>
      <c r="I967" s="0" t="n">
        <v>0.4</v>
      </c>
      <c r="J967" s="0" t="n">
        <f aca="false">CONVERT(G967,"m^2","ha")</f>
        <v>0.5348836</v>
      </c>
      <c r="K967" s="0" t="b">
        <f aca="false">IF(J967&gt;(I967*2),((ROUNDDOWN(J967/I967,0))-1))</f>
        <v>0</v>
      </c>
    </row>
    <row r="968" customFormat="false" ht="12.75" hidden="false" customHeight="false" outlineLevel="0" collapsed="false">
      <c r="A968" s="5" t="n">
        <v>1777</v>
      </c>
      <c r="B968" s="6" t="s">
        <v>2723</v>
      </c>
      <c r="C968" s="6" t="s">
        <v>12</v>
      </c>
      <c r="D968" s="6" t="s">
        <v>2724</v>
      </c>
      <c r="E968" s="6" t="s">
        <v>14</v>
      </c>
      <c r="F968" s="6" t="n">
        <v>1348.113651005</v>
      </c>
      <c r="G968" s="6" t="n">
        <v>1348.114</v>
      </c>
      <c r="H968" s="6" t="s">
        <v>792</v>
      </c>
      <c r="I968" s="0" t="n">
        <v>0.4</v>
      </c>
      <c r="J968" s="0" t="n">
        <f aca="false">CONVERT(G968,"m^2","ha")</f>
        <v>0.1348114</v>
      </c>
      <c r="K968" s="0" t="b">
        <f aca="false">IF(J968&gt;(I968*2),((ROUNDDOWN(J968/I968,0))-1))</f>
        <v>0</v>
      </c>
    </row>
    <row r="969" customFormat="false" ht="12.75" hidden="false" customHeight="false" outlineLevel="0" collapsed="false">
      <c r="A969" s="5" t="n">
        <v>1778</v>
      </c>
      <c r="B969" s="6" t="s">
        <v>2725</v>
      </c>
      <c r="C969" s="6" t="s">
        <v>89</v>
      </c>
      <c r="D969" s="6" t="s">
        <v>2726</v>
      </c>
      <c r="E969" s="6" t="s">
        <v>14</v>
      </c>
      <c r="F969" s="6" t="n">
        <v>1995.88724712</v>
      </c>
      <c r="G969" s="6" t="n">
        <v>1995.887</v>
      </c>
      <c r="H969" s="6" t="s">
        <v>792</v>
      </c>
      <c r="I969" s="0" t="n">
        <v>0.4</v>
      </c>
      <c r="J969" s="0" t="n">
        <f aca="false">CONVERT(G969,"m^2","ha")</f>
        <v>0.1995887</v>
      </c>
      <c r="K969" s="0" t="b">
        <f aca="false">IF(J969&gt;(I969*2),((ROUNDDOWN(J969/I969,0))-1))</f>
        <v>0</v>
      </c>
    </row>
    <row r="970" customFormat="false" ht="12.75" hidden="false" customHeight="false" outlineLevel="0" collapsed="false">
      <c r="A970" s="5" t="n">
        <v>1779</v>
      </c>
      <c r="B970" s="6" t="s">
        <v>2727</v>
      </c>
      <c r="C970" s="6" t="s">
        <v>89</v>
      </c>
      <c r="D970" s="6" t="s">
        <v>2728</v>
      </c>
      <c r="E970" s="6" t="s">
        <v>14</v>
      </c>
      <c r="F970" s="6" t="n">
        <v>6092.649287905</v>
      </c>
      <c r="G970" s="6" t="n">
        <v>6091.225</v>
      </c>
      <c r="H970" s="6" t="s">
        <v>792</v>
      </c>
      <c r="I970" s="0" t="n">
        <v>0.4</v>
      </c>
      <c r="J970" s="0" t="n">
        <f aca="false">CONVERT(G970,"m^2","ha")</f>
        <v>0.6091225</v>
      </c>
      <c r="K970" s="0" t="b">
        <f aca="false">IF(J970&gt;(I970*2),((ROUNDDOWN(J970/I970,0))-1))</f>
        <v>0</v>
      </c>
    </row>
    <row r="971" customFormat="false" ht="12.75" hidden="false" customHeight="false" outlineLevel="0" collapsed="false">
      <c r="A971" s="5" t="n">
        <v>1780</v>
      </c>
      <c r="B971" s="6" t="s">
        <v>2729</v>
      </c>
      <c r="C971" s="6" t="s">
        <v>12</v>
      </c>
      <c r="D971" s="6" t="s">
        <v>2730</v>
      </c>
      <c r="E971" s="6" t="s">
        <v>14</v>
      </c>
      <c r="F971" s="6" t="n">
        <v>4535.821901625</v>
      </c>
      <c r="G971" s="6" t="n">
        <v>4534.79</v>
      </c>
      <c r="H971" s="6" t="s">
        <v>792</v>
      </c>
      <c r="I971" s="0" t="n">
        <v>0.4</v>
      </c>
      <c r="J971" s="0" t="n">
        <f aca="false">CONVERT(G971,"m^2","ha")</f>
        <v>0.453479</v>
      </c>
      <c r="K971" s="0" t="b">
        <f aca="false">IF(J971&gt;(I971*2),((ROUNDDOWN(J971/I971,0))-1))</f>
        <v>0</v>
      </c>
    </row>
    <row r="972" customFormat="false" ht="12.75" hidden="false" customHeight="false" outlineLevel="0" collapsed="false">
      <c r="A972" s="5" t="n">
        <v>1781</v>
      </c>
      <c r="B972" s="6" t="s">
        <v>2731</v>
      </c>
      <c r="C972" s="6" t="s">
        <v>12</v>
      </c>
      <c r="D972" s="6" t="s">
        <v>2732</v>
      </c>
      <c r="E972" s="6" t="s">
        <v>2733</v>
      </c>
      <c r="F972" s="6" t="n">
        <v>5670.8471996</v>
      </c>
      <c r="G972" s="6" t="n">
        <v>5670.847</v>
      </c>
      <c r="H972" s="6" t="s">
        <v>792</v>
      </c>
      <c r="I972" s="0" t="n">
        <v>0.4</v>
      </c>
      <c r="J972" s="0" t="n">
        <f aca="false">CONVERT(G972,"m^2","ha")</f>
        <v>0.5670847</v>
      </c>
      <c r="K972" s="0" t="b">
        <f aca="false">IF(J972&gt;(I972*2),((ROUNDDOWN(J972/I972,0))-1))</f>
        <v>0</v>
      </c>
    </row>
    <row r="973" customFormat="false" ht="12.75" hidden="false" customHeight="false" outlineLevel="0" collapsed="false">
      <c r="A973" s="5" t="n">
        <v>1782</v>
      </c>
      <c r="B973" s="6" t="s">
        <v>2734</v>
      </c>
      <c r="C973" s="6" t="s">
        <v>12</v>
      </c>
      <c r="D973" s="6" t="s">
        <v>2735</v>
      </c>
      <c r="E973" s="6" t="s">
        <v>14</v>
      </c>
      <c r="F973" s="6" t="n">
        <v>4029.284393075</v>
      </c>
      <c r="G973" s="6" t="n">
        <v>4029.284</v>
      </c>
      <c r="H973" s="6" t="s">
        <v>792</v>
      </c>
      <c r="I973" s="0" t="n">
        <v>0.4</v>
      </c>
      <c r="J973" s="0" t="n">
        <f aca="false">CONVERT(G973,"m^2","ha")</f>
        <v>0.4029284</v>
      </c>
      <c r="K973" s="0" t="b">
        <f aca="false">IF(J973&gt;(I973*2),((ROUNDDOWN(J973/I973,0))-1))</f>
        <v>0</v>
      </c>
    </row>
    <row r="974" customFormat="false" ht="12.75" hidden="false" customHeight="false" outlineLevel="0" collapsed="false">
      <c r="A974" s="5" t="n">
        <v>1783</v>
      </c>
      <c r="B974" s="6" t="s">
        <v>2736</v>
      </c>
      <c r="C974" s="6" t="s">
        <v>89</v>
      </c>
      <c r="D974" s="6" t="s">
        <v>2737</v>
      </c>
      <c r="E974" s="6" t="s">
        <v>14</v>
      </c>
      <c r="F974" s="6" t="n">
        <v>3011.779514045</v>
      </c>
      <c r="G974" s="6" t="n">
        <v>3011.287</v>
      </c>
      <c r="H974" s="6" t="s">
        <v>792</v>
      </c>
      <c r="I974" s="0" t="n">
        <v>0.4</v>
      </c>
      <c r="J974" s="0" t="n">
        <f aca="false">CONVERT(G974,"m^2","ha")</f>
        <v>0.3011287</v>
      </c>
      <c r="K974" s="0" t="b">
        <f aca="false">IF(J974&gt;(I974*2),((ROUNDDOWN(J974/I974,0))-1))</f>
        <v>0</v>
      </c>
    </row>
    <row r="975" customFormat="false" ht="12.75" hidden="false" customHeight="false" outlineLevel="0" collapsed="false">
      <c r="A975" s="5" t="n">
        <v>1785</v>
      </c>
      <c r="B975" s="6" t="s">
        <v>2738</v>
      </c>
      <c r="C975" s="6" t="s">
        <v>12</v>
      </c>
      <c r="D975" s="6" t="s">
        <v>2739</v>
      </c>
      <c r="E975" s="6" t="s">
        <v>14</v>
      </c>
      <c r="F975" s="6" t="n">
        <v>5166.22669904</v>
      </c>
      <c r="G975" s="6" t="n">
        <v>5166.227</v>
      </c>
      <c r="H975" s="6" t="s">
        <v>792</v>
      </c>
      <c r="I975" s="0" t="n">
        <v>0.4</v>
      </c>
      <c r="J975" s="0" t="n">
        <f aca="false">CONVERT(G975,"m^2","ha")</f>
        <v>0.5166227</v>
      </c>
      <c r="K975" s="0" t="b">
        <f aca="false">IF(J975&gt;(I975*2),((ROUNDDOWN(J975/I975,0))-1))</f>
        <v>0</v>
      </c>
    </row>
    <row r="976" customFormat="false" ht="12.75" hidden="false" customHeight="false" outlineLevel="0" collapsed="false">
      <c r="A976" s="5" t="n">
        <v>1787</v>
      </c>
      <c r="B976" s="6" t="s">
        <v>2740</v>
      </c>
      <c r="C976" s="6" t="s">
        <v>12</v>
      </c>
      <c r="D976" s="6" t="s">
        <v>2741</v>
      </c>
      <c r="E976" s="6" t="s">
        <v>14</v>
      </c>
      <c r="F976" s="6" t="n">
        <v>1415.246766205</v>
      </c>
      <c r="G976" s="6" t="n">
        <v>1415.247</v>
      </c>
      <c r="H976" s="6" t="s">
        <v>792</v>
      </c>
      <c r="I976" s="0" t="n">
        <v>0.4</v>
      </c>
      <c r="J976" s="0" t="n">
        <f aca="false">CONVERT(G976,"m^2","ha")</f>
        <v>0.1415247</v>
      </c>
      <c r="K976" s="0" t="b">
        <f aca="false">IF(J976&gt;(I976*2),((ROUNDDOWN(J976/I976,0))-1))</f>
        <v>0</v>
      </c>
    </row>
    <row r="977" customFormat="false" ht="12.75" hidden="false" customHeight="false" outlineLevel="0" collapsed="false">
      <c r="A977" s="5" t="n">
        <v>1788</v>
      </c>
      <c r="B977" s="6" t="s">
        <v>2742</v>
      </c>
      <c r="C977" s="6" t="s">
        <v>89</v>
      </c>
      <c r="D977" s="6" t="s">
        <v>2743</v>
      </c>
      <c r="E977" s="6" t="s">
        <v>14</v>
      </c>
      <c r="F977" s="6" t="n">
        <v>2261.77954943</v>
      </c>
      <c r="G977" s="6" t="n">
        <v>2261.246</v>
      </c>
      <c r="H977" s="6" t="s">
        <v>792</v>
      </c>
      <c r="I977" s="0" t="n">
        <v>0.4</v>
      </c>
      <c r="J977" s="0" t="n">
        <f aca="false">CONVERT(G977,"m^2","ha")</f>
        <v>0.2261246</v>
      </c>
      <c r="K977" s="0" t="b">
        <f aca="false">IF(J977&gt;(I977*2),((ROUNDDOWN(J977/I977,0))-1))</f>
        <v>0</v>
      </c>
    </row>
    <row r="978" customFormat="false" ht="12.75" hidden="false" customHeight="false" outlineLevel="0" collapsed="false">
      <c r="A978" s="5" t="n">
        <v>1789</v>
      </c>
      <c r="B978" s="6" t="s">
        <v>2744</v>
      </c>
      <c r="C978" s="6" t="s">
        <v>89</v>
      </c>
      <c r="D978" s="6" t="s">
        <v>2745</v>
      </c>
      <c r="E978" s="6" t="s">
        <v>14</v>
      </c>
      <c r="F978" s="6" t="n">
        <v>2001.52059624</v>
      </c>
      <c r="G978" s="6" t="n">
        <v>2001.521</v>
      </c>
      <c r="H978" s="6" t="s">
        <v>792</v>
      </c>
      <c r="I978" s="0" t="n">
        <v>0.4</v>
      </c>
      <c r="J978" s="0" t="n">
        <f aca="false">CONVERT(G978,"m^2","ha")</f>
        <v>0.2001521</v>
      </c>
      <c r="K978" s="0" t="b">
        <f aca="false">IF(J978&gt;(I978*2),((ROUNDDOWN(J978/I978,0))-1))</f>
        <v>0</v>
      </c>
    </row>
    <row r="979" customFormat="false" ht="12.75" hidden="false" customHeight="false" outlineLevel="0" collapsed="false">
      <c r="A979" s="5" t="n">
        <v>1790</v>
      </c>
      <c r="B979" s="6" t="s">
        <v>2746</v>
      </c>
      <c r="C979" s="6" t="s">
        <v>89</v>
      </c>
      <c r="D979" s="6" t="s">
        <v>2747</v>
      </c>
      <c r="E979" s="6" t="s">
        <v>14</v>
      </c>
      <c r="F979" s="6" t="n">
        <v>11302.218320395</v>
      </c>
      <c r="G979" s="6" t="n">
        <v>11301.545</v>
      </c>
      <c r="H979" s="6" t="s">
        <v>792</v>
      </c>
      <c r="I979" s="0" t="n">
        <v>0.4</v>
      </c>
      <c r="J979" s="0" t="n">
        <f aca="false">CONVERT(G979,"m^2","ha")</f>
        <v>1.1301545</v>
      </c>
      <c r="K979" s="0" t="n">
        <f aca="false">IF(J979&gt;(I979*2),((ROUNDDOWN(J979/I979,0))-1))</f>
        <v>1</v>
      </c>
    </row>
    <row r="980" customFormat="false" ht="12.75" hidden="false" customHeight="false" outlineLevel="0" collapsed="false">
      <c r="A980" s="5" t="n">
        <v>1791</v>
      </c>
      <c r="B980" s="6" t="s">
        <v>2748</v>
      </c>
      <c r="C980" s="6" t="s">
        <v>89</v>
      </c>
      <c r="D980" s="6" t="s">
        <v>2749</v>
      </c>
      <c r="E980" s="6" t="s">
        <v>14</v>
      </c>
      <c r="F980" s="6" t="n">
        <v>2662.558653645</v>
      </c>
      <c r="G980" s="6" t="n">
        <v>2662.559</v>
      </c>
      <c r="H980" s="6" t="s">
        <v>792</v>
      </c>
      <c r="I980" s="0" t="n">
        <v>0.4</v>
      </c>
      <c r="J980" s="0" t="n">
        <f aca="false">CONVERT(G980,"m^2","ha")</f>
        <v>0.2662559</v>
      </c>
      <c r="K980" s="0" t="b">
        <f aca="false">IF(J980&gt;(I980*2),((ROUNDDOWN(J980/I980,0))-1))</f>
        <v>0</v>
      </c>
    </row>
    <row r="981" customFormat="false" ht="12.75" hidden="false" customHeight="false" outlineLevel="0" collapsed="false">
      <c r="A981" s="5" t="n">
        <v>1792</v>
      </c>
      <c r="B981" s="6" t="s">
        <v>2750</v>
      </c>
      <c r="C981" s="6" t="s">
        <v>12</v>
      </c>
      <c r="D981" s="6" t="s">
        <v>2751</v>
      </c>
      <c r="E981" s="6" t="s">
        <v>14</v>
      </c>
      <c r="F981" s="6" t="n">
        <v>4069.382022315</v>
      </c>
      <c r="G981" s="6" t="n">
        <v>4069.382</v>
      </c>
      <c r="H981" s="6" t="s">
        <v>792</v>
      </c>
      <c r="I981" s="0" t="n">
        <v>0.4</v>
      </c>
      <c r="J981" s="0" t="n">
        <f aca="false">CONVERT(G981,"m^2","ha")</f>
        <v>0.4069382</v>
      </c>
      <c r="K981" s="0" t="b">
        <f aca="false">IF(J981&gt;(I981*2),((ROUNDDOWN(J981/I981,0))-1))</f>
        <v>0</v>
      </c>
    </row>
    <row r="982" customFormat="false" ht="12.75" hidden="false" customHeight="false" outlineLevel="0" collapsed="false">
      <c r="A982" s="5" t="n">
        <v>1793</v>
      </c>
      <c r="B982" s="6" t="s">
        <v>2752</v>
      </c>
      <c r="C982" s="6" t="s">
        <v>89</v>
      </c>
      <c r="D982" s="6" t="s">
        <v>2753</v>
      </c>
      <c r="E982" s="6" t="s">
        <v>14</v>
      </c>
      <c r="F982" s="6" t="n">
        <v>4593.069312235</v>
      </c>
      <c r="G982" s="6" t="n">
        <v>4593.069</v>
      </c>
      <c r="H982" s="6" t="s">
        <v>792</v>
      </c>
      <c r="I982" s="0" t="n">
        <v>0.4</v>
      </c>
      <c r="J982" s="0" t="n">
        <f aca="false">CONVERT(G982,"m^2","ha")</f>
        <v>0.4593069</v>
      </c>
      <c r="K982" s="0" t="b">
        <f aca="false">IF(J982&gt;(I982*2),((ROUNDDOWN(J982/I982,0))-1))</f>
        <v>0</v>
      </c>
    </row>
    <row r="983" customFormat="false" ht="12.75" hidden="false" customHeight="false" outlineLevel="0" collapsed="false">
      <c r="A983" s="5" t="n">
        <v>1794</v>
      </c>
      <c r="B983" s="6" t="s">
        <v>2754</v>
      </c>
      <c r="C983" s="6" t="s">
        <v>12</v>
      </c>
      <c r="D983" s="6" t="s">
        <v>2755</v>
      </c>
      <c r="E983" s="6" t="s">
        <v>14</v>
      </c>
      <c r="F983" s="6" t="n">
        <v>1449.82358839</v>
      </c>
      <c r="G983" s="6" t="n">
        <v>1449.824</v>
      </c>
      <c r="H983" s="6" t="s">
        <v>792</v>
      </c>
      <c r="I983" s="0" t="n">
        <v>0.4</v>
      </c>
      <c r="J983" s="0" t="n">
        <f aca="false">CONVERT(G983,"m^2","ha")</f>
        <v>0.1449824</v>
      </c>
      <c r="K983" s="0" t="b">
        <f aca="false">IF(J983&gt;(I983*2),((ROUNDDOWN(J983/I983,0))-1))</f>
        <v>0</v>
      </c>
    </row>
    <row r="984" customFormat="false" ht="12.75" hidden="false" customHeight="false" outlineLevel="0" collapsed="false">
      <c r="A984" s="5" t="n">
        <v>1795</v>
      </c>
      <c r="B984" s="6" t="s">
        <v>2756</v>
      </c>
      <c r="C984" s="6" t="s">
        <v>89</v>
      </c>
      <c r="D984" s="6" t="s">
        <v>2757</v>
      </c>
      <c r="E984" s="6" t="s">
        <v>14</v>
      </c>
      <c r="F984" s="6" t="n">
        <v>2067.52266089</v>
      </c>
      <c r="G984" s="6" t="n">
        <v>2067.523</v>
      </c>
      <c r="H984" s="6" t="s">
        <v>792</v>
      </c>
      <c r="I984" s="0" t="n">
        <v>0.4</v>
      </c>
      <c r="J984" s="0" t="n">
        <f aca="false">CONVERT(G984,"m^2","ha")</f>
        <v>0.2067523</v>
      </c>
      <c r="K984" s="0" t="b">
        <f aca="false">IF(J984&gt;(I984*2),((ROUNDDOWN(J984/I984,0))-1))</f>
        <v>0</v>
      </c>
    </row>
    <row r="985" customFormat="false" ht="12.75" hidden="false" customHeight="false" outlineLevel="0" collapsed="false">
      <c r="A985" s="5" t="n">
        <v>1796</v>
      </c>
      <c r="B985" s="6" t="s">
        <v>2758</v>
      </c>
      <c r="C985" s="6" t="s">
        <v>89</v>
      </c>
      <c r="D985" s="6" t="s">
        <v>2759</v>
      </c>
      <c r="E985" s="6" t="s">
        <v>14</v>
      </c>
      <c r="F985" s="6" t="n">
        <v>2608.42249887</v>
      </c>
      <c r="G985" s="6" t="n">
        <v>2608.422</v>
      </c>
      <c r="H985" s="6" t="s">
        <v>792</v>
      </c>
      <c r="I985" s="0" t="n">
        <v>0.4</v>
      </c>
      <c r="J985" s="0" t="n">
        <f aca="false">CONVERT(G985,"m^2","ha")</f>
        <v>0.2608422</v>
      </c>
      <c r="K985" s="0" t="b">
        <f aca="false">IF(J985&gt;(I985*2),((ROUNDDOWN(J985/I985,0))-1))</f>
        <v>0</v>
      </c>
    </row>
    <row r="986" customFormat="false" ht="12.75" hidden="false" customHeight="false" outlineLevel="0" collapsed="false">
      <c r="A986" s="5" t="n">
        <v>1797</v>
      </c>
      <c r="B986" s="6" t="s">
        <v>2760</v>
      </c>
      <c r="C986" s="6" t="s">
        <v>12</v>
      </c>
      <c r="D986" s="6" t="s">
        <v>2761</v>
      </c>
      <c r="E986" s="6" t="s">
        <v>14</v>
      </c>
      <c r="F986" s="6" t="n">
        <v>4404.62416229</v>
      </c>
      <c r="G986" s="6" t="n">
        <v>4404.624</v>
      </c>
      <c r="H986" s="6" t="s">
        <v>792</v>
      </c>
      <c r="I986" s="0" t="n">
        <v>0.4</v>
      </c>
      <c r="J986" s="0" t="n">
        <f aca="false">CONVERT(G986,"m^2","ha")</f>
        <v>0.4404624</v>
      </c>
      <c r="K986" s="0" t="b">
        <f aca="false">IF(J986&gt;(I986*2),((ROUNDDOWN(J986/I986,0))-1))</f>
        <v>0</v>
      </c>
    </row>
    <row r="987" customFormat="false" ht="12.75" hidden="false" customHeight="false" outlineLevel="0" collapsed="false">
      <c r="A987" s="5" t="n">
        <v>1798</v>
      </c>
      <c r="B987" s="6" t="s">
        <v>2762</v>
      </c>
      <c r="C987" s="6" t="s">
        <v>12</v>
      </c>
      <c r="D987" s="6" t="s">
        <v>2763</v>
      </c>
      <c r="E987" s="6" t="s">
        <v>14</v>
      </c>
      <c r="F987" s="6" t="n">
        <v>4121.83759588</v>
      </c>
      <c r="G987" s="6" t="n">
        <v>4121.838</v>
      </c>
      <c r="H987" s="6" t="s">
        <v>792</v>
      </c>
      <c r="I987" s="0" t="n">
        <v>0.4</v>
      </c>
      <c r="J987" s="0" t="n">
        <f aca="false">CONVERT(G987,"m^2","ha")</f>
        <v>0.4121838</v>
      </c>
      <c r="K987" s="0" t="b">
        <f aca="false">IF(J987&gt;(I987*2),((ROUNDDOWN(J987/I987,0))-1))</f>
        <v>0</v>
      </c>
    </row>
    <row r="988" customFormat="false" ht="12.75" hidden="false" customHeight="false" outlineLevel="0" collapsed="false">
      <c r="A988" s="5" t="n">
        <v>1799</v>
      </c>
      <c r="B988" s="6" t="s">
        <v>2764</v>
      </c>
      <c r="C988" s="6" t="s">
        <v>89</v>
      </c>
      <c r="D988" s="6" t="s">
        <v>2765</v>
      </c>
      <c r="E988" s="6" t="s">
        <v>14</v>
      </c>
      <c r="F988" s="6" t="n">
        <v>9098.33882339</v>
      </c>
      <c r="G988" s="6" t="n">
        <v>9097.781</v>
      </c>
      <c r="H988" s="6" t="s">
        <v>792</v>
      </c>
      <c r="I988" s="0" t="n">
        <v>0.4</v>
      </c>
      <c r="J988" s="0" t="n">
        <f aca="false">CONVERT(G988,"m^2","ha")</f>
        <v>0.9097781</v>
      </c>
      <c r="K988" s="0" t="n">
        <f aca="false">IF(J988&gt;(I988*2),((ROUNDDOWN(J988/I988,0))-1))</f>
        <v>1</v>
      </c>
    </row>
    <row r="989" customFormat="false" ht="12.75" hidden="false" customHeight="false" outlineLevel="0" collapsed="false">
      <c r="A989" s="5" t="n">
        <v>1800</v>
      </c>
      <c r="B989" s="6" t="s">
        <v>2766</v>
      </c>
      <c r="C989" s="6" t="s">
        <v>12</v>
      </c>
      <c r="D989" s="6" t="s">
        <v>2767</v>
      </c>
      <c r="E989" s="6" t="s">
        <v>14</v>
      </c>
      <c r="F989" s="6" t="n">
        <v>21740.561176635</v>
      </c>
      <c r="G989" s="6" t="n">
        <v>21740.561</v>
      </c>
      <c r="H989" s="6" t="s">
        <v>792</v>
      </c>
      <c r="I989" s="0" t="n">
        <v>0.4</v>
      </c>
      <c r="J989" s="0" t="n">
        <f aca="false">CONVERT(G989,"m^2","ha")</f>
        <v>2.1740561</v>
      </c>
      <c r="K989" s="0" t="n">
        <f aca="false">IF(J989&gt;(I989*2),((ROUNDDOWN(J989/I989,0))-1))</f>
        <v>4</v>
      </c>
    </row>
    <row r="990" customFormat="false" ht="12.75" hidden="false" customHeight="false" outlineLevel="0" collapsed="false">
      <c r="A990" s="5" t="n">
        <v>1801</v>
      </c>
      <c r="B990" s="6" t="s">
        <v>2768</v>
      </c>
      <c r="C990" s="6" t="s">
        <v>12</v>
      </c>
      <c r="D990" s="6" t="s">
        <v>2769</v>
      </c>
      <c r="E990" s="6" t="s">
        <v>14</v>
      </c>
      <c r="F990" s="6" t="n">
        <v>22571.25345864</v>
      </c>
      <c r="G990" s="6" t="n">
        <v>22571.253</v>
      </c>
      <c r="H990" s="6" t="s">
        <v>792</v>
      </c>
      <c r="I990" s="0" t="n">
        <v>0.4</v>
      </c>
      <c r="J990" s="0" t="n">
        <f aca="false">CONVERT(G990,"m^2","ha")</f>
        <v>2.2571253</v>
      </c>
      <c r="K990" s="0" t="n">
        <f aca="false">IF(J990&gt;(I990*2),((ROUNDDOWN(J990/I990,0))-1))</f>
        <v>4</v>
      </c>
    </row>
    <row r="991" customFormat="false" ht="12.75" hidden="false" customHeight="false" outlineLevel="0" collapsed="false">
      <c r="A991" s="5" t="n">
        <v>1803</v>
      </c>
      <c r="B991" s="6" t="s">
        <v>2770</v>
      </c>
      <c r="C991" s="6" t="s">
        <v>12</v>
      </c>
      <c r="D991" s="6" t="s">
        <v>2771</v>
      </c>
      <c r="E991" s="6" t="s">
        <v>14</v>
      </c>
      <c r="F991" s="6" t="n">
        <v>1318.88420571</v>
      </c>
      <c r="G991" s="6" t="n">
        <v>1318.884</v>
      </c>
      <c r="H991" s="6" t="s">
        <v>792</v>
      </c>
      <c r="I991" s="0" t="n">
        <v>0.4</v>
      </c>
      <c r="J991" s="0" t="n">
        <f aca="false">CONVERT(G991,"m^2","ha")</f>
        <v>0.1318884</v>
      </c>
      <c r="K991" s="0" t="b">
        <f aca="false">IF(J991&gt;(I991*2),((ROUNDDOWN(J991/I991,0))-1))</f>
        <v>0</v>
      </c>
    </row>
    <row r="992" customFormat="false" ht="12.75" hidden="false" customHeight="false" outlineLevel="0" collapsed="false">
      <c r="A992" s="5" t="n">
        <v>1804</v>
      </c>
      <c r="B992" s="6" t="s">
        <v>2772</v>
      </c>
      <c r="C992" s="6" t="s">
        <v>89</v>
      </c>
      <c r="D992" s="6" t="s">
        <v>2773</v>
      </c>
      <c r="E992" s="6" t="s">
        <v>14</v>
      </c>
      <c r="F992" s="6" t="n">
        <v>1979.25995618</v>
      </c>
      <c r="G992" s="6" t="n">
        <v>1979.26</v>
      </c>
      <c r="H992" s="6" t="s">
        <v>792</v>
      </c>
      <c r="I992" s="0" t="n">
        <v>0.4</v>
      </c>
      <c r="J992" s="0" t="n">
        <f aca="false">CONVERT(G992,"m^2","ha")</f>
        <v>0.197926</v>
      </c>
      <c r="K992" s="0" t="b">
        <f aca="false">IF(J992&gt;(I992*2),((ROUNDDOWN(J992/I992,0))-1))</f>
        <v>0</v>
      </c>
    </row>
    <row r="993" customFormat="false" ht="12.75" hidden="false" customHeight="false" outlineLevel="0" collapsed="false">
      <c r="A993" s="5" t="n">
        <v>1805</v>
      </c>
      <c r="B993" s="6" t="s">
        <v>2774</v>
      </c>
      <c r="C993" s="6" t="s">
        <v>12</v>
      </c>
      <c r="D993" s="6" t="s">
        <v>2775</v>
      </c>
      <c r="E993" s="6" t="s">
        <v>2733</v>
      </c>
      <c r="F993" s="6" t="n">
        <v>4320.107038845</v>
      </c>
      <c r="G993" s="6" t="n">
        <v>4320.107</v>
      </c>
      <c r="H993" s="6" t="s">
        <v>792</v>
      </c>
      <c r="I993" s="0" t="n">
        <v>0.4</v>
      </c>
      <c r="J993" s="0" t="n">
        <f aca="false">CONVERT(G993,"m^2","ha")</f>
        <v>0.4320107</v>
      </c>
      <c r="K993" s="0" t="b">
        <f aca="false">IF(J993&gt;(I993*2),((ROUNDDOWN(J993/I993,0))-1))</f>
        <v>0</v>
      </c>
    </row>
    <row r="994" customFormat="false" ht="12.75" hidden="false" customHeight="false" outlineLevel="0" collapsed="false">
      <c r="A994" s="5" t="n">
        <v>1806</v>
      </c>
      <c r="B994" s="6" t="s">
        <v>2776</v>
      </c>
      <c r="C994" s="6" t="s">
        <v>12</v>
      </c>
      <c r="D994" s="6" t="s">
        <v>2777</v>
      </c>
      <c r="E994" s="6" t="s">
        <v>14</v>
      </c>
      <c r="F994" s="6" t="n">
        <v>21407.36883503</v>
      </c>
      <c r="G994" s="6" t="n">
        <v>21407.369</v>
      </c>
      <c r="H994" s="6" t="s">
        <v>792</v>
      </c>
      <c r="I994" s="0" t="n">
        <v>0.4</v>
      </c>
      <c r="J994" s="0" t="n">
        <f aca="false">CONVERT(G994,"m^2","ha")</f>
        <v>2.1407369</v>
      </c>
      <c r="K994" s="0" t="n">
        <f aca="false">IF(J994&gt;(I994*2),((ROUNDDOWN(J994/I994,0))-1))</f>
        <v>4</v>
      </c>
    </row>
    <row r="995" customFormat="false" ht="12.75" hidden="false" customHeight="false" outlineLevel="0" collapsed="false">
      <c r="A995" s="5" t="n">
        <v>1807</v>
      </c>
      <c r="B995" s="6" t="s">
        <v>2778</v>
      </c>
      <c r="C995" s="6" t="s">
        <v>12</v>
      </c>
      <c r="D995" s="6" t="s">
        <v>2779</v>
      </c>
      <c r="E995" s="6" t="s">
        <v>14</v>
      </c>
      <c r="F995" s="6" t="n">
        <v>1980.398435825</v>
      </c>
      <c r="G995" s="6" t="n">
        <v>1980.398</v>
      </c>
      <c r="H995" s="6" t="s">
        <v>792</v>
      </c>
      <c r="I995" s="0" t="n">
        <v>0.4</v>
      </c>
      <c r="J995" s="0" t="n">
        <f aca="false">CONVERT(G995,"m^2","ha")</f>
        <v>0.1980398</v>
      </c>
      <c r="K995" s="0" t="b">
        <f aca="false">IF(J995&gt;(I995*2),((ROUNDDOWN(J995/I995,0))-1))</f>
        <v>0</v>
      </c>
    </row>
    <row r="996" customFormat="false" ht="12.75" hidden="false" customHeight="false" outlineLevel="0" collapsed="false">
      <c r="A996" s="5" t="n">
        <v>1808</v>
      </c>
      <c r="B996" s="6" t="s">
        <v>2780</v>
      </c>
      <c r="C996" s="6" t="s">
        <v>12</v>
      </c>
      <c r="D996" s="6" t="s">
        <v>2781</v>
      </c>
      <c r="E996" s="6" t="s">
        <v>14</v>
      </c>
      <c r="F996" s="6" t="n">
        <v>1347.67825119</v>
      </c>
      <c r="G996" s="6" t="n">
        <v>1347.678</v>
      </c>
      <c r="H996" s="6" t="s">
        <v>792</v>
      </c>
      <c r="I996" s="0" t="n">
        <v>0.4</v>
      </c>
      <c r="J996" s="0" t="n">
        <f aca="false">CONVERT(G996,"m^2","ha")</f>
        <v>0.1347678</v>
      </c>
      <c r="K996" s="0" t="b">
        <f aca="false">IF(J996&gt;(I996*2),((ROUNDDOWN(J996/I996,0))-1))</f>
        <v>0</v>
      </c>
    </row>
    <row r="997" customFormat="false" ht="12.75" hidden="false" customHeight="false" outlineLevel="0" collapsed="false">
      <c r="A997" s="5" t="n">
        <v>1809</v>
      </c>
      <c r="B997" s="6" t="s">
        <v>2782</v>
      </c>
      <c r="C997" s="6" t="s">
        <v>12</v>
      </c>
      <c r="D997" s="6" t="s">
        <v>2783</v>
      </c>
      <c r="E997" s="6" t="s">
        <v>14</v>
      </c>
      <c r="F997" s="6" t="n">
        <v>4081.558754195</v>
      </c>
      <c r="G997" s="6" t="n">
        <v>4081.559</v>
      </c>
      <c r="H997" s="6" t="s">
        <v>792</v>
      </c>
      <c r="I997" s="0" t="n">
        <v>0.4</v>
      </c>
      <c r="J997" s="0" t="n">
        <f aca="false">CONVERT(G997,"m^2","ha")</f>
        <v>0.4081559</v>
      </c>
      <c r="K997" s="0" t="b">
        <f aca="false">IF(J997&gt;(I997*2),((ROUNDDOWN(J997/I997,0))-1))</f>
        <v>0</v>
      </c>
    </row>
    <row r="998" customFormat="false" ht="12.75" hidden="false" customHeight="false" outlineLevel="0" collapsed="false">
      <c r="A998" s="5" t="n">
        <v>1810</v>
      </c>
      <c r="B998" s="6" t="s">
        <v>2784</v>
      </c>
      <c r="C998" s="6" t="s">
        <v>12</v>
      </c>
      <c r="D998" s="6" t="s">
        <v>2785</v>
      </c>
      <c r="E998" s="6" t="s">
        <v>14</v>
      </c>
      <c r="F998" s="6" t="n">
        <v>4074.630205735</v>
      </c>
      <c r="G998" s="6" t="n">
        <v>4074.63</v>
      </c>
      <c r="H998" s="6" t="s">
        <v>792</v>
      </c>
      <c r="I998" s="0" t="n">
        <v>0.4</v>
      </c>
      <c r="J998" s="0" t="n">
        <f aca="false">CONVERT(G998,"m^2","ha")</f>
        <v>0.407463</v>
      </c>
      <c r="K998" s="0" t="b">
        <f aca="false">IF(J998&gt;(I998*2),((ROUNDDOWN(J998/I998,0))-1))</f>
        <v>0</v>
      </c>
    </row>
    <row r="999" customFormat="false" ht="12.75" hidden="false" customHeight="false" outlineLevel="0" collapsed="false">
      <c r="A999" s="5" t="n">
        <v>1811</v>
      </c>
      <c r="B999" s="6" t="s">
        <v>2786</v>
      </c>
      <c r="C999" s="6" t="s">
        <v>12</v>
      </c>
      <c r="D999" s="6" t="s">
        <v>2787</v>
      </c>
      <c r="E999" s="6" t="s">
        <v>14</v>
      </c>
      <c r="F999" s="6" t="n">
        <v>1475.54410583</v>
      </c>
      <c r="G999" s="6" t="n">
        <v>1475.544</v>
      </c>
      <c r="H999" s="6" t="s">
        <v>792</v>
      </c>
      <c r="I999" s="0" t="n">
        <v>0.4</v>
      </c>
      <c r="J999" s="0" t="n">
        <f aca="false">CONVERT(G999,"m^2","ha")</f>
        <v>0.1475544</v>
      </c>
      <c r="K999" s="0" t="b">
        <f aca="false">IF(J999&gt;(I999*2),((ROUNDDOWN(J999/I999,0))-1))</f>
        <v>0</v>
      </c>
    </row>
    <row r="1000" customFormat="false" ht="12.75" hidden="false" customHeight="false" outlineLevel="0" collapsed="false">
      <c r="A1000" s="5" t="n">
        <v>1812</v>
      </c>
      <c r="B1000" s="6" t="s">
        <v>2788</v>
      </c>
      <c r="C1000" s="6" t="s">
        <v>12</v>
      </c>
      <c r="D1000" s="6" t="s">
        <v>2789</v>
      </c>
      <c r="E1000" s="6" t="s">
        <v>14</v>
      </c>
      <c r="F1000" s="6" t="n">
        <v>1402.21138565</v>
      </c>
      <c r="G1000" s="6" t="n">
        <v>1402.211</v>
      </c>
      <c r="H1000" s="6" t="s">
        <v>792</v>
      </c>
      <c r="I1000" s="0" t="n">
        <v>0.4</v>
      </c>
      <c r="J1000" s="0" t="n">
        <f aca="false">CONVERT(G1000,"m^2","ha")</f>
        <v>0.1402211</v>
      </c>
      <c r="K1000" s="0" t="b">
        <f aca="false">IF(J1000&gt;(I1000*2),((ROUNDDOWN(J1000/I1000,0))-1))</f>
        <v>0</v>
      </c>
    </row>
    <row r="1001" customFormat="false" ht="12.75" hidden="false" customHeight="false" outlineLevel="0" collapsed="false">
      <c r="A1001" s="5" t="n">
        <v>1814</v>
      </c>
      <c r="B1001" s="6" t="s">
        <v>2790</v>
      </c>
      <c r="C1001" s="6" t="s">
        <v>12</v>
      </c>
      <c r="D1001" s="6" t="s">
        <v>2791</v>
      </c>
      <c r="E1001" s="6" t="s">
        <v>14</v>
      </c>
      <c r="F1001" s="6" t="n">
        <v>2560.626494885</v>
      </c>
      <c r="G1001" s="6" t="n">
        <v>2560.626</v>
      </c>
      <c r="H1001" s="6" t="s">
        <v>792</v>
      </c>
      <c r="I1001" s="0" t="n">
        <v>0.4</v>
      </c>
      <c r="J1001" s="0" t="n">
        <f aca="false">CONVERT(G1001,"m^2","ha")</f>
        <v>0.2560626</v>
      </c>
      <c r="K1001" s="0" t="b">
        <f aca="false">IF(J1001&gt;(I1001*2),((ROUNDDOWN(J1001/I1001,0))-1))</f>
        <v>0</v>
      </c>
    </row>
    <row r="1002" customFormat="false" ht="12.75" hidden="false" customHeight="false" outlineLevel="0" collapsed="false">
      <c r="A1002" s="5" t="n">
        <v>1815</v>
      </c>
      <c r="B1002" s="6" t="s">
        <v>2792</v>
      </c>
      <c r="C1002" s="6" t="s">
        <v>89</v>
      </c>
      <c r="D1002" s="6" t="s">
        <v>2793</v>
      </c>
      <c r="E1002" s="6" t="s">
        <v>14</v>
      </c>
      <c r="F1002" s="6" t="n">
        <v>1971.91632266</v>
      </c>
      <c r="G1002" s="6" t="n">
        <v>1971.531</v>
      </c>
      <c r="H1002" s="6" t="s">
        <v>792</v>
      </c>
      <c r="I1002" s="0" t="n">
        <v>0.4</v>
      </c>
      <c r="J1002" s="0" t="n">
        <f aca="false">CONVERT(G1002,"m^2","ha")</f>
        <v>0.1971531</v>
      </c>
      <c r="K1002" s="0" t="b">
        <f aca="false">IF(J1002&gt;(I1002*2),((ROUNDDOWN(J1002/I1002,0))-1))</f>
        <v>0</v>
      </c>
    </row>
    <row r="1003" customFormat="false" ht="12.75" hidden="false" customHeight="false" outlineLevel="0" collapsed="false">
      <c r="A1003" s="5" t="n">
        <v>1816</v>
      </c>
      <c r="B1003" s="6" t="s">
        <v>2794</v>
      </c>
      <c r="C1003" s="6" t="s">
        <v>12</v>
      </c>
      <c r="D1003" s="6" t="s">
        <v>2795</v>
      </c>
      <c r="E1003" s="6" t="s">
        <v>14</v>
      </c>
      <c r="F1003" s="6" t="n">
        <v>3972.36221575</v>
      </c>
      <c r="G1003" s="6" t="n">
        <v>3972.362</v>
      </c>
      <c r="H1003" s="6" t="s">
        <v>792</v>
      </c>
      <c r="I1003" s="0" t="n">
        <v>0.4</v>
      </c>
      <c r="J1003" s="0" t="n">
        <f aca="false">CONVERT(G1003,"m^2","ha")</f>
        <v>0.3972362</v>
      </c>
      <c r="K1003" s="0" t="b">
        <f aca="false">IF(J1003&gt;(I1003*2),((ROUNDDOWN(J1003/I1003,0))-1))</f>
        <v>0</v>
      </c>
    </row>
    <row r="1004" customFormat="false" ht="12.75" hidden="false" customHeight="false" outlineLevel="0" collapsed="false">
      <c r="A1004" s="5" t="n">
        <v>1817</v>
      </c>
      <c r="B1004" s="6" t="s">
        <v>2796</v>
      </c>
      <c r="C1004" s="6" t="s">
        <v>89</v>
      </c>
      <c r="D1004" s="6" t="s">
        <v>2797</v>
      </c>
      <c r="E1004" s="6" t="s">
        <v>14</v>
      </c>
      <c r="F1004" s="6" t="n">
        <v>2924.60085849</v>
      </c>
      <c r="G1004" s="6" t="n">
        <v>2924.601</v>
      </c>
      <c r="H1004" s="6" t="s">
        <v>792</v>
      </c>
      <c r="I1004" s="0" t="n">
        <v>0.4</v>
      </c>
      <c r="J1004" s="0" t="n">
        <f aca="false">CONVERT(G1004,"m^2","ha")</f>
        <v>0.2924601</v>
      </c>
      <c r="K1004" s="0" t="b">
        <f aca="false">IF(J1004&gt;(I1004*2),((ROUNDDOWN(J1004/I1004,0))-1))</f>
        <v>0</v>
      </c>
    </row>
    <row r="1005" customFormat="false" ht="12.75" hidden="false" customHeight="false" outlineLevel="0" collapsed="false">
      <c r="A1005" s="5" t="n">
        <v>1819</v>
      </c>
      <c r="B1005" s="6" t="s">
        <v>2798</v>
      </c>
      <c r="C1005" s="6" t="s">
        <v>12</v>
      </c>
      <c r="D1005" s="6" t="s">
        <v>2799</v>
      </c>
      <c r="E1005" s="6" t="s">
        <v>14</v>
      </c>
      <c r="F1005" s="6" t="n">
        <v>4025.42878103</v>
      </c>
      <c r="G1005" s="6" t="n">
        <v>4025.429</v>
      </c>
      <c r="H1005" s="6" t="s">
        <v>792</v>
      </c>
      <c r="I1005" s="0" t="n">
        <v>0.4</v>
      </c>
      <c r="J1005" s="0" t="n">
        <f aca="false">CONVERT(G1005,"m^2","ha")</f>
        <v>0.4025429</v>
      </c>
      <c r="K1005" s="0" t="b">
        <f aca="false">IF(J1005&gt;(I1005*2),((ROUNDDOWN(J1005/I1005,0))-1))</f>
        <v>0</v>
      </c>
    </row>
    <row r="1006" customFormat="false" ht="12.75" hidden="false" customHeight="false" outlineLevel="0" collapsed="false">
      <c r="A1006" s="5" t="n">
        <v>1820</v>
      </c>
      <c r="B1006" s="6" t="s">
        <v>2800</v>
      </c>
      <c r="C1006" s="6" t="s">
        <v>12</v>
      </c>
      <c r="D1006" s="6" t="s">
        <v>2801</v>
      </c>
      <c r="E1006" s="6" t="s">
        <v>14</v>
      </c>
      <c r="F1006" s="6" t="n">
        <v>4596.059729435</v>
      </c>
      <c r="G1006" s="6" t="n">
        <v>4596.06</v>
      </c>
      <c r="H1006" s="6" t="s">
        <v>792</v>
      </c>
      <c r="I1006" s="0" t="n">
        <v>0.4</v>
      </c>
      <c r="J1006" s="0" t="n">
        <f aca="false">CONVERT(G1006,"m^2","ha")</f>
        <v>0.459606</v>
      </c>
      <c r="K1006" s="0" t="b">
        <f aca="false">IF(J1006&gt;(I1006*2),((ROUNDDOWN(J1006/I1006,0))-1))</f>
        <v>0</v>
      </c>
    </row>
    <row r="1007" customFormat="false" ht="12.75" hidden="false" customHeight="false" outlineLevel="0" collapsed="false">
      <c r="A1007" s="5" t="n">
        <v>1821</v>
      </c>
      <c r="B1007" s="6" t="s">
        <v>2802</v>
      </c>
      <c r="C1007" s="6" t="s">
        <v>89</v>
      </c>
      <c r="D1007" s="6" t="s">
        <v>2803</v>
      </c>
      <c r="E1007" s="6" t="s">
        <v>14</v>
      </c>
      <c r="F1007" s="6" t="n">
        <v>7921.465246</v>
      </c>
      <c r="G1007" s="6" t="n">
        <v>7920.133</v>
      </c>
      <c r="H1007" s="6" t="s">
        <v>792</v>
      </c>
      <c r="I1007" s="0" t="n">
        <v>0.4</v>
      </c>
      <c r="J1007" s="0" t="n">
        <f aca="false">CONVERT(G1007,"m^2","ha")</f>
        <v>0.7920133</v>
      </c>
      <c r="K1007" s="0" t="b">
        <f aca="false">IF(J1007&gt;(I1007*2),((ROUNDDOWN(J1007/I1007,0))-1))</f>
        <v>0</v>
      </c>
    </row>
    <row r="1008" customFormat="false" ht="12.75" hidden="false" customHeight="false" outlineLevel="0" collapsed="false">
      <c r="A1008" s="5" t="n">
        <v>1823</v>
      </c>
      <c r="B1008" s="6" t="s">
        <v>2804</v>
      </c>
      <c r="C1008" s="6" t="s">
        <v>12</v>
      </c>
      <c r="D1008" s="6" t="s">
        <v>2805</v>
      </c>
      <c r="E1008" s="6" t="s">
        <v>14</v>
      </c>
      <c r="F1008" s="6" t="n">
        <v>2786.93038398</v>
      </c>
      <c r="G1008" s="6" t="n">
        <v>2786.93</v>
      </c>
      <c r="H1008" s="6" t="s">
        <v>792</v>
      </c>
      <c r="I1008" s="0" t="n">
        <v>0.4</v>
      </c>
      <c r="J1008" s="0" t="n">
        <f aca="false">CONVERT(G1008,"m^2","ha")</f>
        <v>0.278693</v>
      </c>
      <c r="K1008" s="0" t="b">
        <f aca="false">IF(J1008&gt;(I1008*2),((ROUNDDOWN(J1008/I1008,0))-1))</f>
        <v>0</v>
      </c>
    </row>
    <row r="1009" customFormat="false" ht="12.75" hidden="false" customHeight="false" outlineLevel="0" collapsed="false">
      <c r="A1009" s="5" t="n">
        <v>1829</v>
      </c>
      <c r="B1009" s="6" t="s">
        <v>2806</v>
      </c>
      <c r="C1009" s="6" t="s">
        <v>12</v>
      </c>
      <c r="D1009" s="6" t="s">
        <v>2807</v>
      </c>
      <c r="E1009" s="6" t="s">
        <v>14</v>
      </c>
      <c r="F1009" s="6" t="n">
        <v>806.708235655</v>
      </c>
      <c r="G1009" s="6" t="n">
        <v>806.708</v>
      </c>
      <c r="H1009" s="6" t="s">
        <v>792</v>
      </c>
      <c r="I1009" s="0" t="n">
        <v>0.4</v>
      </c>
      <c r="J1009" s="0" t="n">
        <f aca="false">CONVERT(G1009,"m^2","ha")</f>
        <v>0.0806708</v>
      </c>
      <c r="K1009" s="0" t="b">
        <f aca="false">IF(J1009&gt;(I1009*2),((ROUNDDOWN(J1009/I1009,0))-1))</f>
        <v>0</v>
      </c>
    </row>
    <row r="1010" customFormat="false" ht="12.75" hidden="false" customHeight="false" outlineLevel="0" collapsed="false">
      <c r="A1010" s="5" t="n">
        <v>1831</v>
      </c>
      <c r="B1010" s="6" t="s">
        <v>2808</v>
      </c>
      <c r="C1010" s="6" t="s">
        <v>12</v>
      </c>
      <c r="D1010" s="6" t="s">
        <v>2809</v>
      </c>
      <c r="E1010" s="6" t="s">
        <v>14</v>
      </c>
      <c r="F1010" s="6" t="n">
        <v>2046.18238403</v>
      </c>
      <c r="G1010" s="6" t="n">
        <v>2046.182</v>
      </c>
      <c r="H1010" s="6" t="s">
        <v>792</v>
      </c>
      <c r="I1010" s="0" t="n">
        <v>0.4</v>
      </c>
      <c r="J1010" s="0" t="n">
        <f aca="false">CONVERT(G1010,"m^2","ha")</f>
        <v>0.2046182</v>
      </c>
      <c r="K1010" s="0" t="b">
        <f aca="false">IF(J1010&gt;(I1010*2),((ROUNDDOWN(J1010/I1010,0))-1))</f>
        <v>0</v>
      </c>
    </row>
    <row r="1011" customFormat="false" ht="12.75" hidden="false" customHeight="false" outlineLevel="0" collapsed="false">
      <c r="A1011" s="5" t="n">
        <v>1832</v>
      </c>
      <c r="B1011" s="6" t="s">
        <v>2810</v>
      </c>
      <c r="C1011" s="6" t="s">
        <v>12</v>
      </c>
      <c r="D1011" s="6" t="s">
        <v>2811</v>
      </c>
      <c r="E1011" s="6" t="s">
        <v>14</v>
      </c>
      <c r="F1011" s="6" t="n">
        <v>517.471333365</v>
      </c>
      <c r="G1011" s="6" t="n">
        <v>517.471</v>
      </c>
      <c r="H1011" s="6" t="s">
        <v>792</v>
      </c>
      <c r="I1011" s="0" t="n">
        <v>0.4</v>
      </c>
      <c r="J1011" s="0" t="n">
        <f aca="false">CONVERT(G1011,"m^2","ha")</f>
        <v>0.0517471</v>
      </c>
      <c r="K1011" s="0" t="b">
        <f aca="false">IF(J1011&gt;(I1011*2),((ROUNDDOWN(J1011/I1011,0))-1))</f>
        <v>0</v>
      </c>
    </row>
    <row r="1012" customFormat="false" ht="12.75" hidden="false" customHeight="false" outlineLevel="0" collapsed="false">
      <c r="A1012" s="5" t="n">
        <v>1833</v>
      </c>
      <c r="B1012" s="6" t="s">
        <v>2812</v>
      </c>
      <c r="C1012" s="6" t="s">
        <v>12</v>
      </c>
      <c r="D1012" s="6" t="s">
        <v>2813</v>
      </c>
      <c r="E1012" s="6" t="s">
        <v>14</v>
      </c>
      <c r="F1012" s="6" t="n">
        <v>1518.209124535</v>
      </c>
      <c r="G1012" s="6" t="n">
        <v>1518.209</v>
      </c>
      <c r="H1012" s="6" t="s">
        <v>792</v>
      </c>
      <c r="I1012" s="0" t="n">
        <v>0.4</v>
      </c>
      <c r="J1012" s="0" t="n">
        <f aca="false">CONVERT(G1012,"m^2","ha")</f>
        <v>0.1518209</v>
      </c>
      <c r="K1012" s="0" t="b">
        <f aca="false">IF(J1012&gt;(I1012*2),((ROUNDDOWN(J1012/I1012,0))-1))</f>
        <v>0</v>
      </c>
    </row>
    <row r="1013" customFormat="false" ht="12.75" hidden="false" customHeight="false" outlineLevel="0" collapsed="false">
      <c r="A1013" s="5" t="n">
        <v>1834</v>
      </c>
      <c r="B1013" s="6" t="s">
        <v>2814</v>
      </c>
      <c r="C1013" s="6" t="s">
        <v>12</v>
      </c>
      <c r="D1013" s="6" t="s">
        <v>2815</v>
      </c>
      <c r="E1013" s="6" t="s">
        <v>14</v>
      </c>
      <c r="F1013" s="6" t="n">
        <v>934.85072858</v>
      </c>
      <c r="G1013" s="6" t="n">
        <v>934.851</v>
      </c>
      <c r="H1013" s="6" t="s">
        <v>792</v>
      </c>
      <c r="I1013" s="0" t="n">
        <v>0.4</v>
      </c>
      <c r="J1013" s="0" t="n">
        <f aca="false">CONVERT(G1013,"m^2","ha")</f>
        <v>0.0934851</v>
      </c>
      <c r="K1013" s="0" t="b">
        <f aca="false">IF(J1013&gt;(I1013*2),((ROUNDDOWN(J1013/I1013,0))-1))</f>
        <v>0</v>
      </c>
    </row>
    <row r="1014" customFormat="false" ht="12.75" hidden="false" customHeight="false" outlineLevel="0" collapsed="false">
      <c r="A1014" s="5" t="n">
        <v>1835</v>
      </c>
      <c r="B1014" s="6" t="s">
        <v>2816</v>
      </c>
      <c r="C1014" s="6" t="s">
        <v>12</v>
      </c>
      <c r="D1014" s="6" t="s">
        <v>2817</v>
      </c>
      <c r="E1014" s="6" t="s">
        <v>14</v>
      </c>
      <c r="F1014" s="6" t="n">
        <v>972.355724525</v>
      </c>
      <c r="G1014" s="6" t="n">
        <v>972.356</v>
      </c>
      <c r="H1014" s="6" t="s">
        <v>792</v>
      </c>
      <c r="I1014" s="0" t="n">
        <v>0.4</v>
      </c>
      <c r="J1014" s="0" t="n">
        <f aca="false">CONVERT(G1014,"m^2","ha")</f>
        <v>0.0972356</v>
      </c>
      <c r="K1014" s="0" t="b">
        <f aca="false">IF(J1014&gt;(I1014*2),((ROUNDDOWN(J1014/I1014,0))-1))</f>
        <v>0</v>
      </c>
    </row>
    <row r="1015" customFormat="false" ht="12.75" hidden="false" customHeight="false" outlineLevel="0" collapsed="false">
      <c r="A1015" s="5" t="n">
        <v>1836</v>
      </c>
      <c r="B1015" s="6" t="s">
        <v>2818</v>
      </c>
      <c r="C1015" s="6" t="s">
        <v>12</v>
      </c>
      <c r="D1015" s="6" t="s">
        <v>2819</v>
      </c>
      <c r="E1015" s="6" t="s">
        <v>14</v>
      </c>
      <c r="F1015" s="6" t="n">
        <v>951.23643951</v>
      </c>
      <c r="G1015" s="6" t="n">
        <v>951.236</v>
      </c>
      <c r="H1015" s="6" t="s">
        <v>792</v>
      </c>
      <c r="I1015" s="0" t="n">
        <v>0.4</v>
      </c>
      <c r="J1015" s="0" t="n">
        <f aca="false">CONVERT(G1015,"m^2","ha")</f>
        <v>0.0951236</v>
      </c>
      <c r="K1015" s="0" t="b">
        <f aca="false">IF(J1015&gt;(I1015*2),((ROUNDDOWN(J1015/I1015,0))-1))</f>
        <v>0</v>
      </c>
    </row>
    <row r="1016" customFormat="false" ht="12.75" hidden="false" customHeight="false" outlineLevel="0" collapsed="false">
      <c r="A1016" s="5" t="n">
        <v>1837</v>
      </c>
      <c r="B1016" s="6" t="s">
        <v>2820</v>
      </c>
      <c r="C1016" s="6" t="s">
        <v>12</v>
      </c>
      <c r="D1016" s="6" t="s">
        <v>2821</v>
      </c>
      <c r="E1016" s="6" t="s">
        <v>14</v>
      </c>
      <c r="F1016" s="6" t="n">
        <v>838.83172473</v>
      </c>
      <c r="G1016" s="6" t="n">
        <v>838.832</v>
      </c>
      <c r="H1016" s="6" t="s">
        <v>792</v>
      </c>
      <c r="I1016" s="0" t="n">
        <v>0.4</v>
      </c>
      <c r="J1016" s="0" t="n">
        <f aca="false">CONVERT(G1016,"m^2","ha")</f>
        <v>0.0838832</v>
      </c>
      <c r="K1016" s="0" t="b">
        <f aca="false">IF(J1016&gt;(I1016*2),((ROUNDDOWN(J1016/I1016,0))-1))</f>
        <v>0</v>
      </c>
    </row>
    <row r="1017" customFormat="false" ht="12.75" hidden="false" customHeight="false" outlineLevel="0" collapsed="false">
      <c r="A1017" s="5" t="n">
        <v>1838</v>
      </c>
      <c r="B1017" s="6" t="s">
        <v>2822</v>
      </c>
      <c r="C1017" s="6" t="s">
        <v>12</v>
      </c>
      <c r="D1017" s="6" t="s">
        <v>2823</v>
      </c>
      <c r="E1017" s="6" t="s">
        <v>14</v>
      </c>
      <c r="F1017" s="6" t="n">
        <v>897.58555695</v>
      </c>
      <c r="G1017" s="6" t="n">
        <v>897.586</v>
      </c>
      <c r="H1017" s="6" t="s">
        <v>792</v>
      </c>
      <c r="I1017" s="0" t="n">
        <v>0.4</v>
      </c>
      <c r="J1017" s="0" t="n">
        <f aca="false">CONVERT(G1017,"m^2","ha")</f>
        <v>0.0897586</v>
      </c>
      <c r="K1017" s="0" t="b">
        <f aca="false">IF(J1017&gt;(I1017*2),((ROUNDDOWN(J1017/I1017,0))-1))</f>
        <v>0</v>
      </c>
    </row>
    <row r="1018" customFormat="false" ht="12.75" hidden="false" customHeight="false" outlineLevel="0" collapsed="false">
      <c r="A1018" s="5" t="n">
        <v>1839</v>
      </c>
      <c r="B1018" s="6" t="s">
        <v>2824</v>
      </c>
      <c r="C1018" s="6" t="s">
        <v>12</v>
      </c>
      <c r="D1018" s="6" t="s">
        <v>2825</v>
      </c>
      <c r="E1018" s="6" t="s">
        <v>14</v>
      </c>
      <c r="F1018" s="6" t="n">
        <v>1206.259282155</v>
      </c>
      <c r="G1018" s="6" t="n">
        <v>1206.259</v>
      </c>
      <c r="H1018" s="6" t="s">
        <v>792</v>
      </c>
      <c r="I1018" s="0" t="n">
        <v>0.4</v>
      </c>
      <c r="J1018" s="0" t="n">
        <f aca="false">CONVERT(G1018,"m^2","ha")</f>
        <v>0.1206259</v>
      </c>
      <c r="K1018" s="0" t="b">
        <f aca="false">IF(J1018&gt;(I1018*2),((ROUNDDOWN(J1018/I1018,0))-1))</f>
        <v>0</v>
      </c>
    </row>
    <row r="1019" customFormat="false" ht="12.75" hidden="false" customHeight="false" outlineLevel="0" collapsed="false">
      <c r="A1019" s="5" t="n">
        <v>1840</v>
      </c>
      <c r="B1019" s="6" t="s">
        <v>2826</v>
      </c>
      <c r="C1019" s="6" t="s">
        <v>12</v>
      </c>
      <c r="D1019" s="6" t="s">
        <v>2827</v>
      </c>
      <c r="E1019" s="6" t="s">
        <v>14</v>
      </c>
      <c r="F1019" s="6" t="n">
        <v>946.772038885</v>
      </c>
      <c r="G1019" s="6" t="n">
        <v>946.772</v>
      </c>
      <c r="H1019" s="6" t="s">
        <v>792</v>
      </c>
      <c r="I1019" s="0" t="n">
        <v>0.4</v>
      </c>
      <c r="J1019" s="0" t="n">
        <f aca="false">CONVERT(G1019,"m^2","ha")</f>
        <v>0.0946772</v>
      </c>
      <c r="K1019" s="0" t="b">
        <f aca="false">IF(J1019&gt;(I1019*2),((ROUNDDOWN(J1019/I1019,0))-1))</f>
        <v>0</v>
      </c>
    </row>
    <row r="1020" customFormat="false" ht="12.75" hidden="false" customHeight="false" outlineLevel="0" collapsed="false">
      <c r="A1020" s="5" t="n">
        <v>1841</v>
      </c>
      <c r="B1020" s="6" t="s">
        <v>2828</v>
      </c>
      <c r="C1020" s="6" t="s">
        <v>12</v>
      </c>
      <c r="D1020" s="6" t="s">
        <v>2829</v>
      </c>
      <c r="E1020" s="6" t="s">
        <v>14</v>
      </c>
      <c r="F1020" s="6" t="n">
        <v>953.23877732</v>
      </c>
      <c r="G1020" s="6" t="n">
        <v>953.239</v>
      </c>
      <c r="H1020" s="6" t="s">
        <v>792</v>
      </c>
      <c r="I1020" s="0" t="n">
        <v>0.4</v>
      </c>
      <c r="J1020" s="0" t="n">
        <f aca="false">CONVERT(G1020,"m^2","ha")</f>
        <v>0.0953239</v>
      </c>
      <c r="K1020" s="0" t="b">
        <f aca="false">IF(J1020&gt;(I1020*2),((ROUNDDOWN(J1020/I1020,0))-1))</f>
        <v>0</v>
      </c>
    </row>
    <row r="1021" customFormat="false" ht="12.75" hidden="false" customHeight="false" outlineLevel="0" collapsed="false">
      <c r="A1021" s="5" t="n">
        <v>1842</v>
      </c>
      <c r="B1021" s="6" t="s">
        <v>2830</v>
      </c>
      <c r="C1021" s="6" t="s">
        <v>12</v>
      </c>
      <c r="D1021" s="6" t="s">
        <v>2831</v>
      </c>
      <c r="E1021" s="6" t="s">
        <v>14</v>
      </c>
      <c r="F1021" s="6" t="n">
        <v>891.648562625</v>
      </c>
      <c r="G1021" s="6" t="n">
        <v>891.649</v>
      </c>
      <c r="H1021" s="6" t="s">
        <v>792</v>
      </c>
      <c r="I1021" s="0" t="n">
        <v>0.4</v>
      </c>
      <c r="J1021" s="0" t="n">
        <f aca="false">CONVERT(G1021,"m^2","ha")</f>
        <v>0.0891649</v>
      </c>
      <c r="K1021" s="0" t="b">
        <f aca="false">IF(J1021&gt;(I1021*2),((ROUNDDOWN(J1021/I1021,0))-1))</f>
        <v>0</v>
      </c>
    </row>
    <row r="1022" customFormat="false" ht="12.75" hidden="false" customHeight="false" outlineLevel="0" collapsed="false">
      <c r="A1022" s="5" t="n">
        <v>1843</v>
      </c>
      <c r="B1022" s="6" t="s">
        <v>2832</v>
      </c>
      <c r="C1022" s="6" t="s">
        <v>12</v>
      </c>
      <c r="D1022" s="6" t="s">
        <v>2833</v>
      </c>
      <c r="E1022" s="6" t="s">
        <v>14</v>
      </c>
      <c r="F1022" s="6" t="n">
        <v>1008.49379581</v>
      </c>
      <c r="G1022" s="6" t="n">
        <v>1008.494</v>
      </c>
      <c r="H1022" s="6" t="s">
        <v>792</v>
      </c>
      <c r="I1022" s="0" t="n">
        <v>0.4</v>
      </c>
      <c r="J1022" s="0" t="n">
        <f aca="false">CONVERT(G1022,"m^2","ha")</f>
        <v>0.1008494</v>
      </c>
      <c r="K1022" s="0" t="b">
        <f aca="false">IF(J1022&gt;(I1022*2),((ROUNDDOWN(J1022/I1022,0))-1))</f>
        <v>0</v>
      </c>
    </row>
    <row r="1023" customFormat="false" ht="12.75" hidden="false" customHeight="false" outlineLevel="0" collapsed="false">
      <c r="A1023" s="5" t="n">
        <v>1844</v>
      </c>
      <c r="B1023" s="6" t="s">
        <v>2834</v>
      </c>
      <c r="C1023" s="6" t="s">
        <v>12</v>
      </c>
      <c r="D1023" s="6" t="s">
        <v>2835</v>
      </c>
      <c r="E1023" s="6" t="s">
        <v>14</v>
      </c>
      <c r="F1023" s="6" t="n">
        <v>973.592969795</v>
      </c>
      <c r="G1023" s="6" t="n">
        <v>973.593</v>
      </c>
      <c r="H1023" s="6" t="s">
        <v>792</v>
      </c>
      <c r="I1023" s="0" t="n">
        <v>0.4</v>
      </c>
      <c r="J1023" s="0" t="n">
        <f aca="false">CONVERT(G1023,"m^2","ha")</f>
        <v>0.0973593</v>
      </c>
      <c r="K1023" s="0" t="b">
        <f aca="false">IF(J1023&gt;(I1023*2),((ROUNDDOWN(J1023/I1023,0))-1))</f>
        <v>0</v>
      </c>
    </row>
    <row r="1024" customFormat="false" ht="12.75" hidden="false" customHeight="false" outlineLevel="0" collapsed="false">
      <c r="A1024" s="5" t="n">
        <v>1845</v>
      </c>
      <c r="B1024" s="6" t="s">
        <v>2836</v>
      </c>
      <c r="C1024" s="6" t="s">
        <v>12</v>
      </c>
      <c r="D1024" s="6" t="s">
        <v>2837</v>
      </c>
      <c r="E1024" s="6" t="s">
        <v>14</v>
      </c>
      <c r="F1024" s="6" t="n">
        <v>1375.80102313</v>
      </c>
      <c r="G1024" s="6" t="n">
        <v>1375.801</v>
      </c>
      <c r="H1024" s="6" t="s">
        <v>792</v>
      </c>
      <c r="I1024" s="0" t="n">
        <v>0.4</v>
      </c>
      <c r="J1024" s="0" t="n">
        <f aca="false">CONVERT(G1024,"m^2","ha")</f>
        <v>0.1375801</v>
      </c>
      <c r="K1024" s="0" t="b">
        <f aca="false">IF(J1024&gt;(I1024*2),((ROUNDDOWN(J1024/I1024,0))-1))</f>
        <v>0</v>
      </c>
    </row>
    <row r="1025" customFormat="false" ht="12.75" hidden="false" customHeight="false" outlineLevel="0" collapsed="false">
      <c r="A1025" s="5" t="n">
        <v>1846</v>
      </c>
      <c r="B1025" s="6" t="s">
        <v>2838</v>
      </c>
      <c r="C1025" s="6" t="s">
        <v>12</v>
      </c>
      <c r="D1025" s="6" t="s">
        <v>2839</v>
      </c>
      <c r="E1025" s="6" t="s">
        <v>14</v>
      </c>
      <c r="F1025" s="6" t="n">
        <v>1000.42427286</v>
      </c>
      <c r="G1025" s="6" t="n">
        <v>1000.424</v>
      </c>
      <c r="H1025" s="6" t="s">
        <v>792</v>
      </c>
      <c r="I1025" s="0" t="n">
        <v>0.4</v>
      </c>
      <c r="J1025" s="0" t="n">
        <f aca="false">CONVERT(G1025,"m^2","ha")</f>
        <v>0.1000424</v>
      </c>
      <c r="K1025" s="0" t="b">
        <f aca="false">IF(J1025&gt;(I1025*2),((ROUNDDOWN(J1025/I1025,0))-1))</f>
        <v>0</v>
      </c>
    </row>
    <row r="1026" customFormat="false" ht="12.75" hidden="false" customHeight="false" outlineLevel="0" collapsed="false">
      <c r="A1026" s="5" t="n">
        <v>1849</v>
      </c>
      <c r="B1026" s="6" t="s">
        <v>2840</v>
      </c>
      <c r="C1026" s="6" t="s">
        <v>12</v>
      </c>
      <c r="D1026" s="6" t="s">
        <v>2841</v>
      </c>
      <c r="E1026" s="6" t="s">
        <v>14</v>
      </c>
      <c r="F1026" s="6" t="n">
        <v>4726.648275655</v>
      </c>
      <c r="G1026" s="6" t="n">
        <v>4726.648</v>
      </c>
      <c r="H1026" s="6" t="s">
        <v>792</v>
      </c>
      <c r="I1026" s="0" t="n">
        <v>0.4</v>
      </c>
      <c r="J1026" s="0" t="n">
        <f aca="false">CONVERT(G1026,"m^2","ha")</f>
        <v>0.4726648</v>
      </c>
      <c r="K1026" s="0" t="b">
        <f aca="false">IF(J1026&gt;(I1026*2),((ROUNDDOWN(J1026/I1026,0))-1))</f>
        <v>0</v>
      </c>
    </row>
    <row r="1027" customFormat="false" ht="12.75" hidden="false" customHeight="false" outlineLevel="0" collapsed="false">
      <c r="A1027" s="5" t="n">
        <v>1850</v>
      </c>
      <c r="B1027" s="6" t="s">
        <v>2842</v>
      </c>
      <c r="C1027" s="6" t="s">
        <v>12</v>
      </c>
      <c r="D1027" s="6" t="s">
        <v>2843</v>
      </c>
      <c r="E1027" s="6" t="s">
        <v>14</v>
      </c>
      <c r="F1027" s="6" t="n">
        <v>9331.353878075</v>
      </c>
      <c r="G1027" s="6" t="n">
        <v>9330.295</v>
      </c>
      <c r="H1027" s="6" t="s">
        <v>792</v>
      </c>
      <c r="I1027" s="0" t="n">
        <v>0.4</v>
      </c>
      <c r="J1027" s="0" t="n">
        <f aca="false">CONVERT(G1027,"m^2","ha")</f>
        <v>0.9330295</v>
      </c>
      <c r="K1027" s="0" t="n">
        <f aca="false">IF(J1027&gt;(I1027*2),((ROUNDDOWN(J1027/I1027,0))-1))</f>
        <v>1</v>
      </c>
    </row>
    <row r="1028" customFormat="false" ht="12.75" hidden="false" customHeight="false" outlineLevel="0" collapsed="false">
      <c r="A1028" s="5" t="n">
        <v>1851</v>
      </c>
      <c r="B1028" s="6" t="s">
        <v>2844</v>
      </c>
      <c r="C1028" s="6" t="s">
        <v>12</v>
      </c>
      <c r="D1028" s="6" t="s">
        <v>2845</v>
      </c>
      <c r="E1028" s="6" t="s">
        <v>14</v>
      </c>
      <c r="F1028" s="6" t="n">
        <v>1579.08864312</v>
      </c>
      <c r="G1028" s="6" t="n">
        <v>1581.579</v>
      </c>
      <c r="H1028" s="6" t="s">
        <v>792</v>
      </c>
      <c r="I1028" s="0" t="n">
        <v>0.4</v>
      </c>
      <c r="J1028" s="0" t="n">
        <f aca="false">CONVERT(G1028,"m^2","ha")</f>
        <v>0.1581579</v>
      </c>
      <c r="K1028" s="0" t="b">
        <f aca="false">IF(J1028&gt;(I1028*2),((ROUNDDOWN(J1028/I1028,0))-1))</f>
        <v>0</v>
      </c>
    </row>
    <row r="1029" customFormat="false" ht="12.75" hidden="false" customHeight="false" outlineLevel="0" collapsed="false">
      <c r="A1029" s="5" t="n">
        <v>1852</v>
      </c>
      <c r="B1029" s="6" t="s">
        <v>2846</v>
      </c>
      <c r="C1029" s="6" t="s">
        <v>12</v>
      </c>
      <c r="D1029" s="6" t="s">
        <v>2847</v>
      </c>
      <c r="E1029" s="6" t="s">
        <v>14</v>
      </c>
      <c r="F1029" s="6" t="n">
        <v>1739.81512316</v>
      </c>
      <c r="G1029" s="6" t="n">
        <v>1739.495</v>
      </c>
      <c r="H1029" s="6" t="s">
        <v>792</v>
      </c>
      <c r="I1029" s="0" t="n">
        <v>0.4</v>
      </c>
      <c r="J1029" s="0" t="n">
        <f aca="false">CONVERT(G1029,"m^2","ha")</f>
        <v>0.1739495</v>
      </c>
      <c r="K1029" s="0" t="b">
        <f aca="false">IF(J1029&gt;(I1029*2),((ROUNDDOWN(J1029/I1029,0))-1))</f>
        <v>0</v>
      </c>
    </row>
    <row r="1030" customFormat="false" ht="12.75" hidden="false" customHeight="false" outlineLevel="0" collapsed="false">
      <c r="A1030" s="5" t="n">
        <v>1853</v>
      </c>
      <c r="B1030" s="6" t="s">
        <v>2848</v>
      </c>
      <c r="C1030" s="6" t="s">
        <v>12</v>
      </c>
      <c r="D1030" s="6" t="s">
        <v>2849</v>
      </c>
      <c r="E1030" s="6" t="s">
        <v>14</v>
      </c>
      <c r="F1030" s="6" t="n">
        <v>1957.804845965</v>
      </c>
      <c r="G1030" s="6" t="n">
        <v>1956.367</v>
      </c>
      <c r="H1030" s="6" t="s">
        <v>792</v>
      </c>
      <c r="I1030" s="0" t="n">
        <v>0.4</v>
      </c>
      <c r="J1030" s="0" t="n">
        <f aca="false">CONVERT(G1030,"m^2","ha")</f>
        <v>0.1956367</v>
      </c>
      <c r="K1030" s="0" t="b">
        <f aca="false">IF(J1030&gt;(I1030*2),((ROUNDDOWN(J1030/I1030,0))-1))</f>
        <v>0</v>
      </c>
    </row>
    <row r="1031" customFormat="false" ht="12.75" hidden="false" customHeight="false" outlineLevel="0" collapsed="false">
      <c r="A1031" s="5" t="n">
        <v>1854</v>
      </c>
      <c r="B1031" s="6" t="s">
        <v>2850</v>
      </c>
      <c r="C1031" s="6" t="s">
        <v>12</v>
      </c>
      <c r="D1031" s="6" t="s">
        <v>2851</v>
      </c>
      <c r="E1031" s="6" t="s">
        <v>14</v>
      </c>
      <c r="F1031" s="6" t="n">
        <v>4767.29633192</v>
      </c>
      <c r="G1031" s="6" t="n">
        <v>4766.815</v>
      </c>
      <c r="H1031" s="6" t="s">
        <v>792</v>
      </c>
      <c r="I1031" s="0" t="n">
        <v>0.4</v>
      </c>
      <c r="J1031" s="0" t="n">
        <f aca="false">CONVERT(G1031,"m^2","ha")</f>
        <v>0.4766815</v>
      </c>
      <c r="K1031" s="0" t="b">
        <f aca="false">IF(J1031&gt;(I1031*2),((ROUNDDOWN(J1031/I1031,0))-1))</f>
        <v>0</v>
      </c>
    </row>
    <row r="1032" customFormat="false" ht="12.75" hidden="false" customHeight="false" outlineLevel="0" collapsed="false">
      <c r="A1032" s="5" t="n">
        <v>1856</v>
      </c>
      <c r="B1032" s="6" t="s">
        <v>2852</v>
      </c>
      <c r="C1032" s="6" t="s">
        <v>12</v>
      </c>
      <c r="D1032" s="6" t="s">
        <v>2853</v>
      </c>
      <c r="E1032" s="6" t="s">
        <v>14</v>
      </c>
      <c r="F1032" s="6" t="n">
        <v>3185.098976995</v>
      </c>
      <c r="G1032" s="6" t="n">
        <v>3184.821</v>
      </c>
      <c r="H1032" s="6" t="s">
        <v>792</v>
      </c>
      <c r="I1032" s="0" t="n">
        <v>0.4</v>
      </c>
      <c r="J1032" s="0" t="n">
        <f aca="false">CONVERT(G1032,"m^2","ha")</f>
        <v>0.3184821</v>
      </c>
      <c r="K1032" s="0" t="b">
        <f aca="false">IF(J1032&gt;(I1032*2),((ROUNDDOWN(J1032/I1032,0))-1))</f>
        <v>0</v>
      </c>
    </row>
    <row r="1033" customFormat="false" ht="12.75" hidden="false" customHeight="false" outlineLevel="0" collapsed="false">
      <c r="A1033" s="5" t="n">
        <v>1857</v>
      </c>
      <c r="B1033" s="6" t="s">
        <v>2854</v>
      </c>
      <c r="C1033" s="6" t="s">
        <v>12</v>
      </c>
      <c r="D1033" s="6" t="s">
        <v>2855</v>
      </c>
      <c r="E1033" s="6" t="s">
        <v>14</v>
      </c>
      <c r="F1033" s="6" t="n">
        <v>1685.11767725</v>
      </c>
      <c r="G1033" s="6" t="n">
        <v>1685.492</v>
      </c>
      <c r="H1033" s="6" t="s">
        <v>792</v>
      </c>
      <c r="I1033" s="0" t="n">
        <v>0.4</v>
      </c>
      <c r="J1033" s="0" t="n">
        <f aca="false">CONVERT(G1033,"m^2","ha")</f>
        <v>0.1685492</v>
      </c>
      <c r="K1033" s="0" t="b">
        <f aca="false">IF(J1033&gt;(I1033*2),((ROUNDDOWN(J1033/I1033,0))-1))</f>
        <v>0</v>
      </c>
    </row>
    <row r="1034" customFormat="false" ht="12.75" hidden="false" customHeight="false" outlineLevel="0" collapsed="false">
      <c r="A1034" s="5" t="n">
        <v>1858</v>
      </c>
      <c r="B1034" s="6" t="s">
        <v>2856</v>
      </c>
      <c r="C1034" s="6" t="s">
        <v>12</v>
      </c>
      <c r="D1034" s="6" t="s">
        <v>2857</v>
      </c>
      <c r="E1034" s="6" t="s">
        <v>14</v>
      </c>
      <c r="F1034" s="6" t="n">
        <v>3256.74260267</v>
      </c>
      <c r="G1034" s="6" t="n">
        <v>3256.743</v>
      </c>
      <c r="H1034" s="6" t="s">
        <v>792</v>
      </c>
      <c r="I1034" s="0" t="n">
        <v>0.4</v>
      </c>
      <c r="J1034" s="0" t="n">
        <f aca="false">CONVERT(G1034,"m^2","ha")</f>
        <v>0.3256743</v>
      </c>
      <c r="K1034" s="0" t="b">
        <f aca="false">IF(J1034&gt;(I1034*2),((ROUNDDOWN(J1034/I1034,0))-1))</f>
        <v>0</v>
      </c>
    </row>
    <row r="1035" customFormat="false" ht="12.75" hidden="false" customHeight="false" outlineLevel="0" collapsed="false">
      <c r="A1035" s="5" t="n">
        <v>1859</v>
      </c>
      <c r="B1035" s="6" t="s">
        <v>2858</v>
      </c>
      <c r="C1035" s="6" t="s">
        <v>12</v>
      </c>
      <c r="D1035" s="6" t="s">
        <v>2859</v>
      </c>
      <c r="E1035" s="6" t="s">
        <v>14</v>
      </c>
      <c r="F1035" s="6" t="n">
        <v>2070.134347445</v>
      </c>
      <c r="G1035" s="6" t="n">
        <v>2068.145</v>
      </c>
      <c r="H1035" s="6" t="s">
        <v>792</v>
      </c>
      <c r="I1035" s="0" t="n">
        <v>0.4</v>
      </c>
      <c r="J1035" s="0" t="n">
        <f aca="false">CONVERT(G1035,"m^2","ha")</f>
        <v>0.2068145</v>
      </c>
      <c r="K1035" s="0" t="b">
        <f aca="false">IF(J1035&gt;(I1035*2),((ROUNDDOWN(J1035/I1035,0))-1))</f>
        <v>0</v>
      </c>
    </row>
    <row r="1036" customFormat="false" ht="12.75" hidden="false" customHeight="false" outlineLevel="0" collapsed="false">
      <c r="A1036" s="5" t="n">
        <v>1860</v>
      </c>
      <c r="B1036" s="6" t="s">
        <v>2860</v>
      </c>
      <c r="C1036" s="6" t="s">
        <v>12</v>
      </c>
      <c r="D1036" s="6" t="s">
        <v>2861</v>
      </c>
      <c r="E1036" s="6" t="s">
        <v>14</v>
      </c>
      <c r="F1036" s="6" t="n">
        <v>2077.984005745</v>
      </c>
      <c r="G1036" s="6" t="n">
        <v>2076.116</v>
      </c>
      <c r="H1036" s="6" t="s">
        <v>792</v>
      </c>
      <c r="I1036" s="0" t="n">
        <v>0.4</v>
      </c>
      <c r="J1036" s="0" t="n">
        <f aca="false">CONVERT(G1036,"m^2","ha")</f>
        <v>0.2076116</v>
      </c>
      <c r="K1036" s="0" t="b">
        <f aca="false">IF(J1036&gt;(I1036*2),((ROUNDDOWN(J1036/I1036,0))-1))</f>
        <v>0</v>
      </c>
    </row>
    <row r="1037" customFormat="false" ht="12.75" hidden="false" customHeight="false" outlineLevel="0" collapsed="false">
      <c r="A1037" s="5" t="n">
        <v>1861</v>
      </c>
      <c r="B1037" s="6" t="s">
        <v>2862</v>
      </c>
      <c r="C1037" s="6" t="s">
        <v>12</v>
      </c>
      <c r="D1037" s="6" t="s">
        <v>2863</v>
      </c>
      <c r="E1037" s="6" t="s">
        <v>14</v>
      </c>
      <c r="F1037" s="6" t="n">
        <v>2886.79923169</v>
      </c>
      <c r="G1037" s="6" t="n">
        <v>2887.307</v>
      </c>
      <c r="H1037" s="6" t="s">
        <v>792</v>
      </c>
      <c r="I1037" s="0" t="n">
        <v>0.4</v>
      </c>
      <c r="J1037" s="0" t="n">
        <f aca="false">CONVERT(G1037,"m^2","ha")</f>
        <v>0.2887307</v>
      </c>
      <c r="K1037" s="0" t="b">
        <f aca="false">IF(J1037&gt;(I1037*2),((ROUNDDOWN(J1037/I1037,0))-1))</f>
        <v>0</v>
      </c>
    </row>
    <row r="1038" customFormat="false" ht="12.75" hidden="false" customHeight="false" outlineLevel="0" collapsed="false">
      <c r="A1038" s="5" t="n">
        <v>1862</v>
      </c>
      <c r="B1038" s="6" t="s">
        <v>2864</v>
      </c>
      <c r="C1038" s="6" t="s">
        <v>12</v>
      </c>
      <c r="D1038" s="6" t="s">
        <v>2865</v>
      </c>
      <c r="E1038" s="6" t="s">
        <v>14</v>
      </c>
      <c r="F1038" s="6" t="n">
        <v>2320.67793441</v>
      </c>
      <c r="G1038" s="6" t="n">
        <v>2321.737</v>
      </c>
      <c r="H1038" s="6" t="s">
        <v>792</v>
      </c>
      <c r="I1038" s="0" t="n">
        <v>0.4</v>
      </c>
      <c r="J1038" s="0" t="n">
        <f aca="false">CONVERT(G1038,"m^2","ha")</f>
        <v>0.2321737</v>
      </c>
      <c r="K1038" s="0" t="b">
        <f aca="false">IF(J1038&gt;(I1038*2),((ROUNDDOWN(J1038/I1038,0))-1))</f>
        <v>0</v>
      </c>
    </row>
    <row r="1039" customFormat="false" ht="12.75" hidden="false" customHeight="false" outlineLevel="0" collapsed="false">
      <c r="A1039" s="5" t="n">
        <v>1863</v>
      </c>
      <c r="B1039" s="6" t="s">
        <v>2866</v>
      </c>
      <c r="C1039" s="6" t="s">
        <v>12</v>
      </c>
      <c r="D1039" s="6" t="s">
        <v>2867</v>
      </c>
      <c r="E1039" s="6" t="s">
        <v>14</v>
      </c>
      <c r="F1039" s="6" t="n">
        <v>2224.343148325</v>
      </c>
      <c r="G1039" s="6" t="n">
        <v>2222.593</v>
      </c>
      <c r="H1039" s="6" t="s">
        <v>792</v>
      </c>
      <c r="I1039" s="0" t="n">
        <v>0.4</v>
      </c>
      <c r="J1039" s="0" t="n">
        <f aca="false">CONVERT(G1039,"m^2","ha")</f>
        <v>0.2222593</v>
      </c>
      <c r="K1039" s="0" t="b">
        <f aca="false">IF(J1039&gt;(I1039*2),((ROUNDDOWN(J1039/I1039,0))-1))</f>
        <v>0</v>
      </c>
    </row>
    <row r="1040" customFormat="false" ht="12.75" hidden="false" customHeight="false" outlineLevel="0" collapsed="false">
      <c r="A1040" s="5" t="n">
        <v>1864</v>
      </c>
      <c r="B1040" s="6" t="s">
        <v>2868</v>
      </c>
      <c r="C1040" s="6" t="s">
        <v>12</v>
      </c>
      <c r="D1040" s="6" t="s">
        <v>2869</v>
      </c>
      <c r="E1040" s="6" t="s">
        <v>14</v>
      </c>
      <c r="F1040" s="6" t="n">
        <v>2535.01823646</v>
      </c>
      <c r="G1040" s="6" t="n">
        <v>2534.314</v>
      </c>
      <c r="H1040" s="6" t="s">
        <v>792</v>
      </c>
      <c r="I1040" s="0" t="n">
        <v>0.4</v>
      </c>
      <c r="J1040" s="0" t="n">
        <f aca="false">CONVERT(G1040,"m^2","ha")</f>
        <v>0.2534314</v>
      </c>
      <c r="K1040" s="0" t="b">
        <f aca="false">IF(J1040&gt;(I1040*2),((ROUNDDOWN(J1040/I1040,0))-1))</f>
        <v>0</v>
      </c>
    </row>
    <row r="1041" customFormat="false" ht="12.75" hidden="false" customHeight="false" outlineLevel="0" collapsed="false">
      <c r="A1041" s="5" t="n">
        <v>1865</v>
      </c>
      <c r="B1041" s="6" t="s">
        <v>2870</v>
      </c>
      <c r="C1041" s="6" t="s">
        <v>12</v>
      </c>
      <c r="D1041" s="6" t="s">
        <v>2871</v>
      </c>
      <c r="E1041" s="6" t="s">
        <v>14</v>
      </c>
      <c r="F1041" s="6" t="n">
        <v>2326.816936715</v>
      </c>
      <c r="G1041" s="6" t="n">
        <v>2327.705</v>
      </c>
      <c r="H1041" s="6" t="s">
        <v>792</v>
      </c>
      <c r="I1041" s="0" t="n">
        <v>0.4</v>
      </c>
      <c r="J1041" s="0" t="n">
        <f aca="false">CONVERT(G1041,"m^2","ha")</f>
        <v>0.2327705</v>
      </c>
      <c r="K1041" s="0" t="b">
        <f aca="false">IF(J1041&gt;(I1041*2),((ROUNDDOWN(J1041/I1041,0))-1))</f>
        <v>0</v>
      </c>
    </row>
    <row r="1042" customFormat="false" ht="12.75" hidden="false" customHeight="false" outlineLevel="0" collapsed="false">
      <c r="A1042" s="5" t="n">
        <v>1871</v>
      </c>
      <c r="B1042" s="6" t="s">
        <v>2872</v>
      </c>
      <c r="C1042" s="6" t="s">
        <v>12</v>
      </c>
      <c r="D1042" s="6" t="s">
        <v>2873</v>
      </c>
      <c r="E1042" s="6" t="s">
        <v>14</v>
      </c>
      <c r="F1042" s="6" t="n">
        <v>2932.58922935</v>
      </c>
      <c r="G1042" s="6" t="n">
        <v>2932.589</v>
      </c>
      <c r="H1042" s="6" t="s">
        <v>792</v>
      </c>
      <c r="I1042" s="0" t="n">
        <v>0.4</v>
      </c>
      <c r="J1042" s="0" t="n">
        <f aca="false">CONVERT(G1042,"m^2","ha")</f>
        <v>0.2932589</v>
      </c>
      <c r="K1042" s="0" t="b">
        <f aca="false">IF(J1042&gt;(I1042*2),((ROUNDDOWN(J1042/I1042,0))-1))</f>
        <v>0</v>
      </c>
    </row>
    <row r="1043" customFormat="false" ht="12.75" hidden="false" customHeight="false" outlineLevel="0" collapsed="false">
      <c r="A1043" s="5" t="n">
        <v>1872</v>
      </c>
      <c r="B1043" s="6" t="s">
        <v>2874</v>
      </c>
      <c r="C1043" s="6" t="s">
        <v>12</v>
      </c>
      <c r="D1043" s="6" t="s">
        <v>2875</v>
      </c>
      <c r="E1043" s="6" t="s">
        <v>14</v>
      </c>
      <c r="F1043" s="6" t="n">
        <v>2396.20486614</v>
      </c>
      <c r="G1043" s="6" t="n">
        <v>2396.205</v>
      </c>
      <c r="H1043" s="6" t="s">
        <v>792</v>
      </c>
      <c r="I1043" s="0" t="n">
        <v>0.4</v>
      </c>
      <c r="J1043" s="0" t="n">
        <f aca="false">CONVERT(G1043,"m^2","ha")</f>
        <v>0.2396205</v>
      </c>
      <c r="K1043" s="0" t="b">
        <f aca="false">IF(J1043&gt;(I1043*2),((ROUNDDOWN(J1043/I1043,0))-1))</f>
        <v>0</v>
      </c>
    </row>
    <row r="1044" customFormat="false" ht="12.75" hidden="false" customHeight="false" outlineLevel="0" collapsed="false">
      <c r="A1044" s="5" t="n">
        <v>1873</v>
      </c>
      <c r="B1044" s="6" t="s">
        <v>2876</v>
      </c>
      <c r="C1044" s="6" t="s">
        <v>12</v>
      </c>
      <c r="D1044" s="6" t="s">
        <v>2877</v>
      </c>
      <c r="E1044" s="6" t="s">
        <v>14</v>
      </c>
      <c r="F1044" s="6" t="n">
        <v>2862.9977903</v>
      </c>
      <c r="G1044" s="6" t="n">
        <v>2862.998</v>
      </c>
      <c r="H1044" s="6" t="s">
        <v>792</v>
      </c>
      <c r="I1044" s="0" t="n">
        <v>0.4</v>
      </c>
      <c r="J1044" s="0" t="n">
        <f aca="false">CONVERT(G1044,"m^2","ha")</f>
        <v>0.2862998</v>
      </c>
      <c r="K1044" s="0" t="b">
        <f aca="false">IF(J1044&gt;(I1044*2),((ROUNDDOWN(J1044/I1044,0))-1))</f>
        <v>0</v>
      </c>
    </row>
    <row r="1045" customFormat="false" ht="12.75" hidden="false" customHeight="false" outlineLevel="0" collapsed="false">
      <c r="A1045" s="5" t="n">
        <v>1878</v>
      </c>
      <c r="B1045" s="6" t="s">
        <v>2878</v>
      </c>
      <c r="C1045" s="6" t="s">
        <v>12</v>
      </c>
      <c r="D1045" s="6" t="s">
        <v>2879</v>
      </c>
      <c r="E1045" s="6" t="s">
        <v>14</v>
      </c>
      <c r="F1045" s="6" t="n">
        <v>3398.243000075</v>
      </c>
      <c r="G1045" s="6" t="n">
        <v>3398.243</v>
      </c>
      <c r="H1045" s="6" t="s">
        <v>792</v>
      </c>
      <c r="I1045" s="0" t="n">
        <v>0.4</v>
      </c>
      <c r="J1045" s="0" t="n">
        <f aca="false">CONVERT(G1045,"m^2","ha")</f>
        <v>0.3398243</v>
      </c>
      <c r="K1045" s="0" t="b">
        <f aca="false">IF(J1045&gt;(I1045*2),((ROUNDDOWN(J1045/I1045,0))-1))</f>
        <v>0</v>
      </c>
    </row>
    <row r="1046" customFormat="false" ht="12.75" hidden="false" customHeight="false" outlineLevel="0" collapsed="false">
      <c r="A1046" s="5" t="n">
        <v>1881</v>
      </c>
      <c r="B1046" s="6" t="s">
        <v>2880</v>
      </c>
      <c r="C1046" s="6" t="s">
        <v>12</v>
      </c>
      <c r="D1046" s="6" t="s">
        <v>2881</v>
      </c>
      <c r="E1046" s="6" t="s">
        <v>14</v>
      </c>
      <c r="F1046" s="6" t="n">
        <v>2297.09242581</v>
      </c>
      <c r="G1046" s="6" t="n">
        <v>2297.092</v>
      </c>
      <c r="H1046" s="6" t="s">
        <v>792</v>
      </c>
      <c r="I1046" s="0" t="n">
        <v>0.4</v>
      </c>
      <c r="J1046" s="0" t="n">
        <f aca="false">CONVERT(G1046,"m^2","ha")</f>
        <v>0.2297092</v>
      </c>
      <c r="K1046" s="0" t="b">
        <f aca="false">IF(J1046&gt;(I1046*2),((ROUNDDOWN(J1046/I1046,0))-1))</f>
        <v>0</v>
      </c>
    </row>
    <row r="1047" customFormat="false" ht="12.75" hidden="false" customHeight="false" outlineLevel="0" collapsed="false">
      <c r="A1047" s="5" t="n">
        <v>1894</v>
      </c>
      <c r="B1047" s="6" t="s">
        <v>2882</v>
      </c>
      <c r="C1047" s="6" t="s">
        <v>12</v>
      </c>
      <c r="D1047" s="6" t="s">
        <v>2883</v>
      </c>
      <c r="E1047" s="6" t="s">
        <v>14</v>
      </c>
      <c r="F1047" s="6" t="n">
        <v>17412.30230117</v>
      </c>
      <c r="G1047" s="6" t="n">
        <v>17412.302</v>
      </c>
      <c r="H1047" s="6" t="s">
        <v>792</v>
      </c>
      <c r="I1047" s="0" t="n">
        <v>0.4</v>
      </c>
      <c r="J1047" s="0" t="n">
        <f aca="false">CONVERT(G1047,"m^2","ha")</f>
        <v>1.7412302</v>
      </c>
      <c r="K1047" s="0" t="n">
        <f aca="false">IF(J1047&gt;(I1047*2),((ROUNDDOWN(J1047/I1047,0))-1))</f>
        <v>3</v>
      </c>
    </row>
    <row r="1048" customFormat="false" ht="12.75" hidden="false" customHeight="false" outlineLevel="0" collapsed="false">
      <c r="A1048" s="5" t="n">
        <v>1895</v>
      </c>
      <c r="B1048" s="6" t="s">
        <v>2884</v>
      </c>
      <c r="C1048" s="6" t="s">
        <v>12</v>
      </c>
      <c r="D1048" s="6" t="s">
        <v>2885</v>
      </c>
      <c r="E1048" s="6" t="s">
        <v>14</v>
      </c>
      <c r="F1048" s="6" t="n">
        <v>13117.036431305</v>
      </c>
      <c r="G1048" s="6" t="n">
        <v>13117.036</v>
      </c>
      <c r="H1048" s="6" t="s">
        <v>792</v>
      </c>
      <c r="I1048" s="0" t="n">
        <v>0.4</v>
      </c>
      <c r="J1048" s="0" t="n">
        <f aca="false">CONVERT(G1048,"m^2","ha")</f>
        <v>1.3117036</v>
      </c>
      <c r="K1048" s="0" t="n">
        <f aca="false">IF(J1048&gt;(I1048*2),((ROUNDDOWN(J1048/I1048,0))-1))</f>
        <v>2</v>
      </c>
    </row>
    <row r="1049" customFormat="false" ht="12.75" hidden="false" customHeight="false" outlineLevel="0" collapsed="false">
      <c r="A1049" s="5" t="n">
        <v>1897</v>
      </c>
      <c r="B1049" s="6" t="s">
        <v>2886</v>
      </c>
      <c r="C1049" s="6" t="s">
        <v>12</v>
      </c>
      <c r="D1049" s="6" t="s">
        <v>2887</v>
      </c>
      <c r="E1049" s="6" t="s">
        <v>14</v>
      </c>
      <c r="F1049" s="6" t="n">
        <v>12805.64748105</v>
      </c>
      <c r="G1049" s="6" t="n">
        <v>12805.647</v>
      </c>
      <c r="H1049" s="6" t="s">
        <v>792</v>
      </c>
      <c r="I1049" s="0" t="n">
        <v>0.4</v>
      </c>
      <c r="J1049" s="0" t="n">
        <f aca="false">CONVERT(G1049,"m^2","ha")</f>
        <v>1.2805647</v>
      </c>
      <c r="K1049" s="0" t="n">
        <f aca="false">IF(J1049&gt;(I1049*2),((ROUNDDOWN(J1049/I1049,0))-1))</f>
        <v>2</v>
      </c>
    </row>
    <row r="1050" customFormat="false" ht="12.75" hidden="false" customHeight="false" outlineLevel="0" collapsed="false">
      <c r="A1050" s="5" t="n">
        <v>1903</v>
      </c>
      <c r="B1050" s="6" t="s">
        <v>2888</v>
      </c>
      <c r="C1050" s="6" t="s">
        <v>12</v>
      </c>
      <c r="D1050" s="6" t="s">
        <v>2889</v>
      </c>
      <c r="E1050" s="6" t="s">
        <v>14</v>
      </c>
      <c r="F1050" s="6" t="n">
        <v>11483.973034705</v>
      </c>
      <c r="G1050" s="6" t="n">
        <v>11483.973</v>
      </c>
      <c r="H1050" s="6" t="s">
        <v>792</v>
      </c>
      <c r="I1050" s="0" t="n">
        <v>0.4</v>
      </c>
      <c r="J1050" s="0" t="n">
        <f aca="false">CONVERT(G1050,"m^2","ha")</f>
        <v>1.1483973</v>
      </c>
      <c r="K1050" s="0" t="n">
        <f aca="false">IF(J1050&gt;(I1050*2),((ROUNDDOWN(J1050/I1050,0))-1))</f>
        <v>1</v>
      </c>
    </row>
    <row r="1051" customFormat="false" ht="12.75" hidden="false" customHeight="false" outlineLevel="0" collapsed="false">
      <c r="A1051" s="5" t="n">
        <v>1904</v>
      </c>
      <c r="B1051" s="6" t="s">
        <v>2890</v>
      </c>
      <c r="C1051" s="6" t="s">
        <v>12</v>
      </c>
      <c r="D1051" s="6" t="s">
        <v>2891</v>
      </c>
      <c r="E1051" s="6" t="s">
        <v>14</v>
      </c>
      <c r="F1051" s="6" t="n">
        <v>4038.66701197</v>
      </c>
      <c r="G1051" s="6" t="n">
        <v>4038.667</v>
      </c>
      <c r="H1051" s="6" t="s">
        <v>792</v>
      </c>
      <c r="I1051" s="0" t="n">
        <v>0.4</v>
      </c>
      <c r="J1051" s="0" t="n">
        <f aca="false">CONVERT(G1051,"m^2","ha")</f>
        <v>0.4038667</v>
      </c>
      <c r="K1051" s="0" t="b">
        <f aca="false">IF(J1051&gt;(I1051*2),((ROUNDDOWN(J1051/I1051,0))-1))</f>
        <v>0</v>
      </c>
    </row>
    <row r="1052" customFormat="false" ht="12.75" hidden="false" customHeight="false" outlineLevel="0" collapsed="false">
      <c r="A1052" s="5" t="n">
        <v>1905</v>
      </c>
      <c r="B1052" s="6" t="s">
        <v>2892</v>
      </c>
      <c r="C1052" s="6" t="s">
        <v>12</v>
      </c>
      <c r="D1052" s="6" t="s">
        <v>2893</v>
      </c>
      <c r="E1052" s="6" t="s">
        <v>14</v>
      </c>
      <c r="F1052" s="6" t="n">
        <v>11266.53399336</v>
      </c>
      <c r="G1052" s="6" t="n">
        <v>11266.534</v>
      </c>
      <c r="H1052" s="6" t="s">
        <v>792</v>
      </c>
      <c r="I1052" s="0" t="n">
        <v>0.4</v>
      </c>
      <c r="J1052" s="0" t="n">
        <f aca="false">CONVERT(G1052,"m^2","ha")</f>
        <v>1.1266534</v>
      </c>
      <c r="K1052" s="0" t="n">
        <f aca="false">IF(J1052&gt;(I1052*2),((ROUNDDOWN(J1052/I1052,0))-1))</f>
        <v>1</v>
      </c>
    </row>
    <row r="1053" customFormat="false" ht="12.75" hidden="false" customHeight="false" outlineLevel="0" collapsed="false">
      <c r="A1053" s="5" t="n">
        <v>1906</v>
      </c>
      <c r="B1053" s="6" t="s">
        <v>2894</v>
      </c>
      <c r="C1053" s="6" t="s">
        <v>12</v>
      </c>
      <c r="D1053" s="6" t="s">
        <v>2895</v>
      </c>
      <c r="E1053" s="6" t="s">
        <v>14</v>
      </c>
      <c r="F1053" s="6" t="n">
        <v>10222.59358207</v>
      </c>
      <c r="G1053" s="6" t="n">
        <v>10222.594</v>
      </c>
      <c r="H1053" s="6" t="s">
        <v>792</v>
      </c>
      <c r="I1053" s="0" t="n">
        <v>0.4</v>
      </c>
      <c r="J1053" s="0" t="n">
        <f aca="false">CONVERT(G1053,"m^2","ha")</f>
        <v>1.0222594</v>
      </c>
      <c r="K1053" s="0" t="n">
        <f aca="false">IF(J1053&gt;(I1053*2),((ROUNDDOWN(J1053/I1053,0))-1))</f>
        <v>1</v>
      </c>
    </row>
    <row r="1054" customFormat="false" ht="12.75" hidden="false" customHeight="false" outlineLevel="0" collapsed="false">
      <c r="A1054" s="5" t="n">
        <v>1909</v>
      </c>
      <c r="B1054" s="6" t="s">
        <v>2896</v>
      </c>
      <c r="C1054" s="6" t="s">
        <v>12</v>
      </c>
      <c r="D1054" s="6" t="s">
        <v>2897</v>
      </c>
      <c r="E1054" s="6" t="s">
        <v>14</v>
      </c>
      <c r="F1054" s="6" t="n">
        <v>7591.83901355</v>
      </c>
      <c r="G1054" s="6" t="n">
        <v>7591.839</v>
      </c>
      <c r="H1054" s="6" t="s">
        <v>792</v>
      </c>
      <c r="I1054" s="0" t="n">
        <v>0.4</v>
      </c>
      <c r="J1054" s="0" t="n">
        <f aca="false">CONVERT(G1054,"m^2","ha")</f>
        <v>0.7591839</v>
      </c>
      <c r="K1054" s="0" t="b">
        <f aca="false">IF(J1054&gt;(I1054*2),((ROUNDDOWN(J1054/I1054,0))-1))</f>
        <v>0</v>
      </c>
    </row>
    <row r="1055" customFormat="false" ht="12.75" hidden="false" customHeight="false" outlineLevel="0" collapsed="false">
      <c r="A1055" s="5" t="n">
        <v>1910</v>
      </c>
      <c r="B1055" s="6" t="s">
        <v>2898</v>
      </c>
      <c r="C1055" s="6" t="s">
        <v>12</v>
      </c>
      <c r="D1055" s="6" t="s">
        <v>2899</v>
      </c>
      <c r="E1055" s="6" t="s">
        <v>14</v>
      </c>
      <c r="F1055" s="6" t="n">
        <v>15002.88381961</v>
      </c>
      <c r="G1055" s="6" t="n">
        <v>15002.884</v>
      </c>
      <c r="H1055" s="6" t="s">
        <v>792</v>
      </c>
      <c r="I1055" s="0" t="n">
        <v>0.4</v>
      </c>
      <c r="J1055" s="0" t="n">
        <f aca="false">CONVERT(G1055,"m^2","ha")</f>
        <v>1.5002884</v>
      </c>
      <c r="K1055" s="0" t="n">
        <f aca="false">IF(J1055&gt;(I1055*2),((ROUNDDOWN(J1055/I1055,0))-1))</f>
        <v>2</v>
      </c>
    </row>
    <row r="1056" customFormat="false" ht="12.75" hidden="false" customHeight="false" outlineLevel="0" collapsed="false">
      <c r="A1056" s="5" t="n">
        <v>1911</v>
      </c>
      <c r="B1056" s="6" t="s">
        <v>2900</v>
      </c>
      <c r="C1056" s="6" t="s">
        <v>12</v>
      </c>
      <c r="D1056" s="6" t="s">
        <v>2901</v>
      </c>
      <c r="E1056" s="6" t="s">
        <v>14</v>
      </c>
      <c r="F1056" s="6" t="n">
        <v>17476.388194165</v>
      </c>
      <c r="G1056" s="6" t="n">
        <v>17476.388</v>
      </c>
      <c r="H1056" s="6" t="s">
        <v>792</v>
      </c>
      <c r="I1056" s="0" t="n">
        <v>0.4</v>
      </c>
      <c r="J1056" s="0" t="n">
        <f aca="false">CONVERT(G1056,"m^2","ha")</f>
        <v>1.7476388</v>
      </c>
      <c r="K1056" s="0" t="n">
        <f aca="false">IF(J1056&gt;(I1056*2),((ROUNDDOWN(J1056/I1056,0))-1))</f>
        <v>3</v>
      </c>
    </row>
    <row r="1057" customFormat="false" ht="12.75" hidden="false" customHeight="false" outlineLevel="0" collapsed="false">
      <c r="A1057" s="5" t="n">
        <v>1929</v>
      </c>
      <c r="B1057" s="6" t="s">
        <v>2902</v>
      </c>
      <c r="C1057" s="6" t="s">
        <v>12</v>
      </c>
      <c r="D1057" s="6" t="s">
        <v>2903</v>
      </c>
      <c r="E1057" s="6" t="s">
        <v>14</v>
      </c>
      <c r="F1057" s="6" t="n">
        <v>1682.808534825</v>
      </c>
      <c r="G1057" s="6" t="n">
        <v>1682.809</v>
      </c>
      <c r="H1057" s="6" t="s">
        <v>792</v>
      </c>
      <c r="I1057" s="0" t="n">
        <v>0.4</v>
      </c>
      <c r="J1057" s="0" t="n">
        <f aca="false">CONVERT(G1057,"m^2","ha")</f>
        <v>0.1682809</v>
      </c>
      <c r="K1057" s="0" t="b">
        <f aca="false">IF(J1057&gt;(I1057*2),((ROUNDDOWN(J1057/I1057,0))-1))</f>
        <v>0</v>
      </c>
    </row>
    <row r="1058" customFormat="false" ht="12.75" hidden="false" customHeight="false" outlineLevel="0" collapsed="false">
      <c r="A1058" s="5" t="n">
        <v>1930</v>
      </c>
      <c r="B1058" s="6" t="s">
        <v>2904</v>
      </c>
      <c r="C1058" s="6" t="s">
        <v>89</v>
      </c>
      <c r="D1058" s="6" t="s">
        <v>2905</v>
      </c>
      <c r="E1058" s="6" t="s">
        <v>14</v>
      </c>
      <c r="F1058" s="6" t="n">
        <v>2416.12406926</v>
      </c>
      <c r="G1058" s="6" t="n">
        <v>2416.124</v>
      </c>
      <c r="H1058" s="6" t="s">
        <v>792</v>
      </c>
      <c r="I1058" s="0" t="n">
        <v>0.4</v>
      </c>
      <c r="J1058" s="0" t="n">
        <f aca="false">CONVERT(G1058,"m^2","ha")</f>
        <v>0.2416124</v>
      </c>
      <c r="K1058" s="0" t="b">
        <f aca="false">IF(J1058&gt;(I1058*2),((ROUNDDOWN(J1058/I1058,0))-1))</f>
        <v>0</v>
      </c>
    </row>
    <row r="1059" customFormat="false" ht="12.75" hidden="false" customHeight="false" outlineLevel="0" collapsed="false">
      <c r="A1059" s="5" t="n">
        <v>1931</v>
      </c>
      <c r="B1059" s="6" t="s">
        <v>2906</v>
      </c>
      <c r="C1059" s="6" t="s">
        <v>12</v>
      </c>
      <c r="D1059" s="6" t="s">
        <v>2907</v>
      </c>
      <c r="E1059" s="6" t="s">
        <v>14</v>
      </c>
      <c r="F1059" s="6" t="n">
        <v>2706.019727955</v>
      </c>
      <c r="G1059" s="6" t="n">
        <v>2705.19</v>
      </c>
      <c r="H1059" s="6" t="s">
        <v>792</v>
      </c>
      <c r="I1059" s="0" t="n">
        <v>0.4</v>
      </c>
      <c r="J1059" s="0" t="n">
        <f aca="false">CONVERT(G1059,"m^2","ha")</f>
        <v>0.270519</v>
      </c>
      <c r="K1059" s="0" t="b">
        <f aca="false">IF(J1059&gt;(I1059*2),((ROUNDDOWN(J1059/I1059,0))-1))</f>
        <v>0</v>
      </c>
    </row>
    <row r="1060" customFormat="false" ht="12.75" hidden="false" customHeight="false" outlineLevel="0" collapsed="false">
      <c r="A1060" s="5" t="n">
        <v>1935</v>
      </c>
      <c r="B1060" s="6" t="s">
        <v>2908</v>
      </c>
      <c r="C1060" s="6" t="s">
        <v>12</v>
      </c>
      <c r="D1060" s="6" t="s">
        <v>2909</v>
      </c>
      <c r="E1060" s="6" t="s">
        <v>14</v>
      </c>
      <c r="F1060" s="6" t="n">
        <v>2009.915850765</v>
      </c>
      <c r="G1060" s="6" t="n">
        <v>2009.916</v>
      </c>
      <c r="H1060" s="6" t="s">
        <v>792</v>
      </c>
      <c r="I1060" s="0" t="n">
        <v>0.4</v>
      </c>
      <c r="J1060" s="0" t="n">
        <f aca="false">CONVERT(G1060,"m^2","ha")</f>
        <v>0.2009916</v>
      </c>
      <c r="K1060" s="0" t="b">
        <f aca="false">IF(J1060&gt;(I1060*2),((ROUNDDOWN(J1060/I1060,0))-1))</f>
        <v>0</v>
      </c>
    </row>
    <row r="1061" customFormat="false" ht="12.75" hidden="false" customHeight="false" outlineLevel="0" collapsed="false">
      <c r="A1061" s="5" t="n">
        <v>1937</v>
      </c>
      <c r="B1061" s="6" t="s">
        <v>2910</v>
      </c>
      <c r="C1061" s="6" t="s">
        <v>12</v>
      </c>
      <c r="D1061" s="6" t="s">
        <v>2911</v>
      </c>
      <c r="E1061" s="6" t="s">
        <v>14</v>
      </c>
      <c r="F1061" s="6" t="n">
        <v>1634.27028314</v>
      </c>
      <c r="G1061" s="6" t="n">
        <v>1634.27</v>
      </c>
      <c r="H1061" s="6" t="s">
        <v>792</v>
      </c>
      <c r="I1061" s="0" t="n">
        <v>0.4</v>
      </c>
      <c r="J1061" s="0" t="n">
        <f aca="false">CONVERT(G1061,"m^2","ha")</f>
        <v>0.163427</v>
      </c>
      <c r="K1061" s="0" t="b">
        <f aca="false">IF(J1061&gt;(I1061*2),((ROUNDDOWN(J1061/I1061,0))-1))</f>
        <v>0</v>
      </c>
    </row>
    <row r="1062" customFormat="false" ht="12.75" hidden="false" customHeight="false" outlineLevel="0" collapsed="false">
      <c r="A1062" s="5" t="n">
        <v>1944</v>
      </c>
      <c r="B1062" s="6" t="s">
        <v>2912</v>
      </c>
      <c r="C1062" s="6" t="s">
        <v>12</v>
      </c>
      <c r="D1062" s="6" t="s">
        <v>2913</v>
      </c>
      <c r="E1062" s="6" t="s">
        <v>14</v>
      </c>
      <c r="F1062" s="6" t="n">
        <v>1663.246574185</v>
      </c>
      <c r="G1062" s="6" t="n">
        <v>1663.247</v>
      </c>
      <c r="H1062" s="6" t="s">
        <v>792</v>
      </c>
      <c r="I1062" s="0" t="n">
        <v>0.4</v>
      </c>
      <c r="J1062" s="0" t="n">
        <f aca="false">CONVERT(G1062,"m^2","ha")</f>
        <v>0.1663247</v>
      </c>
      <c r="K1062" s="0" t="b">
        <f aca="false">IF(J1062&gt;(I1062*2),((ROUNDDOWN(J1062/I1062,0))-1))</f>
        <v>0</v>
      </c>
    </row>
    <row r="1063" customFormat="false" ht="12.75" hidden="false" customHeight="false" outlineLevel="0" collapsed="false">
      <c r="A1063" s="5" t="n">
        <v>1967</v>
      </c>
      <c r="B1063" s="6" t="s">
        <v>2914</v>
      </c>
      <c r="C1063" s="6" t="s">
        <v>12</v>
      </c>
      <c r="D1063" s="6" t="s">
        <v>2915</v>
      </c>
      <c r="E1063" s="6" t="s">
        <v>14</v>
      </c>
      <c r="F1063" s="6" t="n">
        <v>4850.416514665</v>
      </c>
      <c r="G1063" s="6" t="n">
        <v>4850.63</v>
      </c>
      <c r="H1063" s="6" t="s">
        <v>792</v>
      </c>
      <c r="I1063" s="0" t="n">
        <v>0.4</v>
      </c>
      <c r="J1063" s="0" t="n">
        <f aca="false">CONVERT(G1063,"m^2","ha")</f>
        <v>0.485063</v>
      </c>
      <c r="K1063" s="0" t="b">
        <f aca="false">IF(J1063&gt;(I1063*2),((ROUNDDOWN(J1063/I1063,0))-1))</f>
        <v>0</v>
      </c>
    </row>
    <row r="1064" customFormat="false" ht="12.75" hidden="false" customHeight="false" outlineLevel="0" collapsed="false">
      <c r="A1064" s="5" t="n">
        <v>1968</v>
      </c>
      <c r="B1064" s="6" t="s">
        <v>2916</v>
      </c>
      <c r="C1064" s="6" t="s">
        <v>12</v>
      </c>
      <c r="D1064" s="6" t="s">
        <v>2917</v>
      </c>
      <c r="E1064" s="6" t="s">
        <v>14</v>
      </c>
      <c r="F1064" s="6" t="n">
        <v>1736.668517285</v>
      </c>
      <c r="G1064" s="6" t="n">
        <v>1736.669</v>
      </c>
      <c r="H1064" s="6" t="s">
        <v>792</v>
      </c>
      <c r="I1064" s="0" t="n">
        <v>0.4</v>
      </c>
      <c r="J1064" s="0" t="n">
        <f aca="false">CONVERT(G1064,"m^2","ha")</f>
        <v>0.1736669</v>
      </c>
      <c r="K1064" s="0" t="b">
        <f aca="false">IF(J1064&gt;(I1064*2),((ROUNDDOWN(J1064/I1064,0))-1))</f>
        <v>0</v>
      </c>
    </row>
    <row r="1065" customFormat="false" ht="12.75" hidden="false" customHeight="false" outlineLevel="0" collapsed="false">
      <c r="A1065" s="5" t="n">
        <v>1969</v>
      </c>
      <c r="B1065" s="6" t="s">
        <v>2918</v>
      </c>
      <c r="C1065" s="6" t="s">
        <v>12</v>
      </c>
      <c r="D1065" s="6" t="s">
        <v>2919</v>
      </c>
      <c r="E1065" s="6" t="s">
        <v>14</v>
      </c>
      <c r="F1065" s="6" t="n">
        <v>1223.267812585</v>
      </c>
      <c r="G1065" s="6" t="n">
        <v>1223.268</v>
      </c>
      <c r="H1065" s="6" t="s">
        <v>792</v>
      </c>
      <c r="I1065" s="0" t="n">
        <v>0.4</v>
      </c>
      <c r="J1065" s="0" t="n">
        <f aca="false">CONVERT(G1065,"m^2","ha")</f>
        <v>0.1223268</v>
      </c>
      <c r="K1065" s="0" t="b">
        <f aca="false">IF(J1065&gt;(I1065*2),((ROUNDDOWN(J1065/I1065,0))-1))</f>
        <v>0</v>
      </c>
    </row>
    <row r="1066" customFormat="false" ht="12.75" hidden="false" customHeight="false" outlineLevel="0" collapsed="false">
      <c r="A1066" s="5" t="n">
        <v>1970</v>
      </c>
      <c r="B1066" s="6" t="s">
        <v>2920</v>
      </c>
      <c r="C1066" s="6" t="s">
        <v>12</v>
      </c>
      <c r="D1066" s="6" t="s">
        <v>2921</v>
      </c>
      <c r="E1066" s="6" t="s">
        <v>14</v>
      </c>
      <c r="F1066" s="6" t="n">
        <v>6330.258309135</v>
      </c>
      <c r="G1066" s="6" t="n">
        <v>6330.258</v>
      </c>
      <c r="H1066" s="6" t="s">
        <v>792</v>
      </c>
      <c r="I1066" s="0" t="n">
        <v>0.4</v>
      </c>
      <c r="J1066" s="0" t="n">
        <f aca="false">CONVERT(G1066,"m^2","ha")</f>
        <v>0.6330258</v>
      </c>
      <c r="K1066" s="0" t="b">
        <f aca="false">IF(J1066&gt;(I1066*2),((ROUNDDOWN(J1066/I1066,0))-1))</f>
        <v>0</v>
      </c>
    </row>
    <row r="1067" customFormat="false" ht="12.75" hidden="false" customHeight="false" outlineLevel="0" collapsed="false">
      <c r="A1067" s="5" t="n">
        <v>1971</v>
      </c>
      <c r="B1067" s="6" t="s">
        <v>2922</v>
      </c>
      <c r="C1067" s="6" t="s">
        <v>12</v>
      </c>
      <c r="D1067" s="6" t="s">
        <v>2923</v>
      </c>
      <c r="E1067" s="6" t="s">
        <v>14</v>
      </c>
      <c r="F1067" s="6" t="n">
        <v>2055.88548749</v>
      </c>
      <c r="G1067" s="6" t="n">
        <v>2055.885</v>
      </c>
      <c r="H1067" s="6" t="s">
        <v>792</v>
      </c>
      <c r="I1067" s="0" t="n">
        <v>0.4</v>
      </c>
      <c r="J1067" s="0" t="n">
        <f aca="false">CONVERT(G1067,"m^2","ha")</f>
        <v>0.2055885</v>
      </c>
      <c r="K1067" s="0" t="b">
        <f aca="false">IF(J1067&gt;(I1067*2),((ROUNDDOWN(J1067/I1067,0))-1))</f>
        <v>0</v>
      </c>
    </row>
    <row r="1068" customFormat="false" ht="12.75" hidden="false" customHeight="false" outlineLevel="0" collapsed="false">
      <c r="A1068" s="5" t="n">
        <v>1972</v>
      </c>
      <c r="B1068" s="6" t="s">
        <v>2924</v>
      </c>
      <c r="C1068" s="6" t="s">
        <v>12</v>
      </c>
      <c r="D1068" s="6" t="s">
        <v>2925</v>
      </c>
      <c r="E1068" s="6" t="s">
        <v>14</v>
      </c>
      <c r="F1068" s="6" t="n">
        <v>3631.52440152</v>
      </c>
      <c r="G1068" s="6" t="n">
        <v>3631.524</v>
      </c>
      <c r="H1068" s="6" t="s">
        <v>792</v>
      </c>
      <c r="I1068" s="0" t="n">
        <v>0.4</v>
      </c>
      <c r="J1068" s="0" t="n">
        <f aca="false">CONVERT(G1068,"m^2","ha")</f>
        <v>0.3631524</v>
      </c>
      <c r="K1068" s="0" t="b">
        <f aca="false">IF(J1068&gt;(I1068*2),((ROUNDDOWN(J1068/I1068,0))-1))</f>
        <v>0</v>
      </c>
    </row>
    <row r="1069" customFormat="false" ht="12.75" hidden="false" customHeight="false" outlineLevel="0" collapsed="false">
      <c r="A1069" s="5" t="n">
        <v>1973</v>
      </c>
      <c r="B1069" s="6" t="s">
        <v>2926</v>
      </c>
      <c r="C1069" s="6" t="s">
        <v>12</v>
      </c>
      <c r="D1069" s="6" t="s">
        <v>2927</v>
      </c>
      <c r="E1069" s="6" t="s">
        <v>14</v>
      </c>
      <c r="F1069" s="6" t="n">
        <v>4943.048135025</v>
      </c>
      <c r="G1069" s="6" t="n">
        <v>4943.861</v>
      </c>
      <c r="H1069" s="6" t="s">
        <v>792</v>
      </c>
      <c r="I1069" s="0" t="n">
        <v>0.4</v>
      </c>
      <c r="J1069" s="0" t="n">
        <f aca="false">CONVERT(G1069,"m^2","ha")</f>
        <v>0.4943861</v>
      </c>
      <c r="K1069" s="0" t="b">
        <f aca="false">IF(J1069&gt;(I1069*2),((ROUNDDOWN(J1069/I1069,0))-1))</f>
        <v>0</v>
      </c>
    </row>
    <row r="1070" customFormat="false" ht="12.75" hidden="false" customHeight="false" outlineLevel="0" collapsed="false">
      <c r="A1070" s="5" t="n">
        <v>1974</v>
      </c>
      <c r="B1070" s="6" t="s">
        <v>2928</v>
      </c>
      <c r="C1070" s="6" t="s">
        <v>12</v>
      </c>
      <c r="D1070" s="6" t="s">
        <v>2929</v>
      </c>
      <c r="E1070" s="6" t="s">
        <v>14</v>
      </c>
      <c r="F1070" s="6" t="n">
        <v>3187.14926298</v>
      </c>
      <c r="G1070" s="6" t="n">
        <v>3187.149</v>
      </c>
      <c r="H1070" s="6" t="s">
        <v>792</v>
      </c>
      <c r="I1070" s="0" t="n">
        <v>0.4</v>
      </c>
      <c r="J1070" s="0" t="n">
        <f aca="false">CONVERT(G1070,"m^2","ha")</f>
        <v>0.3187149</v>
      </c>
      <c r="K1070" s="0" t="b">
        <f aca="false">IF(J1070&gt;(I1070*2),((ROUNDDOWN(J1070/I1070,0))-1))</f>
        <v>0</v>
      </c>
    </row>
    <row r="1071" customFormat="false" ht="12.75" hidden="false" customHeight="false" outlineLevel="0" collapsed="false">
      <c r="A1071" s="5" t="n">
        <v>1975</v>
      </c>
      <c r="B1071" s="6" t="s">
        <v>2930</v>
      </c>
      <c r="C1071" s="6" t="s">
        <v>12</v>
      </c>
      <c r="D1071" s="6" t="s">
        <v>2931</v>
      </c>
      <c r="E1071" s="6" t="s">
        <v>14</v>
      </c>
      <c r="F1071" s="6" t="n">
        <v>6239.746261875</v>
      </c>
      <c r="G1071" s="6" t="n">
        <v>6239.842</v>
      </c>
      <c r="H1071" s="6" t="s">
        <v>792</v>
      </c>
      <c r="I1071" s="0" t="n">
        <v>0.4</v>
      </c>
      <c r="J1071" s="0" t="n">
        <f aca="false">CONVERT(G1071,"m^2","ha")</f>
        <v>0.6239842</v>
      </c>
      <c r="K1071" s="0" t="b">
        <f aca="false">IF(J1071&gt;(I1071*2),((ROUNDDOWN(J1071/I1071,0))-1))</f>
        <v>0</v>
      </c>
    </row>
    <row r="1072" customFormat="false" ht="12.75" hidden="false" customHeight="false" outlineLevel="0" collapsed="false">
      <c r="A1072" s="5" t="n">
        <v>1976</v>
      </c>
      <c r="B1072" s="6" t="s">
        <v>2932</v>
      </c>
      <c r="C1072" s="6" t="s">
        <v>89</v>
      </c>
      <c r="D1072" s="6" t="s">
        <v>2933</v>
      </c>
      <c r="E1072" s="6" t="s">
        <v>14</v>
      </c>
      <c r="F1072" s="6" t="n">
        <v>4301.348074875</v>
      </c>
      <c r="G1072" s="6" t="n">
        <v>4301.348</v>
      </c>
      <c r="H1072" s="6" t="s">
        <v>792</v>
      </c>
      <c r="I1072" s="0" t="n">
        <v>0.4</v>
      </c>
      <c r="J1072" s="0" t="n">
        <f aca="false">CONVERT(G1072,"m^2","ha")</f>
        <v>0.4301348</v>
      </c>
      <c r="K1072" s="0" t="b">
        <f aca="false">IF(J1072&gt;(I1072*2),((ROUNDDOWN(J1072/I1072,0))-1))</f>
        <v>0</v>
      </c>
    </row>
    <row r="1073" customFormat="false" ht="12.75" hidden="false" customHeight="false" outlineLevel="0" collapsed="false">
      <c r="A1073" s="5" t="n">
        <v>1977</v>
      </c>
      <c r="B1073" s="6" t="s">
        <v>2934</v>
      </c>
      <c r="C1073" s="6" t="s">
        <v>89</v>
      </c>
      <c r="D1073" s="6" t="s">
        <v>2935</v>
      </c>
      <c r="E1073" s="6" t="s">
        <v>14</v>
      </c>
      <c r="F1073" s="6" t="n">
        <v>4530.74457937</v>
      </c>
      <c r="G1073" s="6" t="n">
        <v>4530.773</v>
      </c>
      <c r="H1073" s="6" t="s">
        <v>792</v>
      </c>
      <c r="I1073" s="0" t="n">
        <v>0.4</v>
      </c>
      <c r="J1073" s="0" t="n">
        <f aca="false">CONVERT(G1073,"m^2","ha")</f>
        <v>0.4530773</v>
      </c>
      <c r="K1073" s="0" t="b">
        <f aca="false">IF(J1073&gt;(I1073*2),((ROUNDDOWN(J1073/I1073,0))-1))</f>
        <v>0</v>
      </c>
    </row>
    <row r="1074" customFormat="false" ht="12.75" hidden="false" customHeight="false" outlineLevel="0" collapsed="false">
      <c r="A1074" s="5" t="n">
        <v>1978</v>
      </c>
      <c r="B1074" s="6" t="s">
        <v>2936</v>
      </c>
      <c r="C1074" s="6" t="s">
        <v>12</v>
      </c>
      <c r="D1074" s="6" t="s">
        <v>2937</v>
      </c>
      <c r="E1074" s="6" t="s">
        <v>14</v>
      </c>
      <c r="F1074" s="6" t="n">
        <v>1927.55724909</v>
      </c>
      <c r="G1074" s="6" t="n">
        <v>1927.557</v>
      </c>
      <c r="H1074" s="6" t="s">
        <v>792</v>
      </c>
      <c r="I1074" s="0" t="n">
        <v>0.4</v>
      </c>
      <c r="J1074" s="0" t="n">
        <f aca="false">CONVERT(G1074,"m^2","ha")</f>
        <v>0.1927557</v>
      </c>
      <c r="K1074" s="0" t="b">
        <f aca="false">IF(J1074&gt;(I1074*2),((ROUNDDOWN(J1074/I1074,0))-1))</f>
        <v>0</v>
      </c>
    </row>
    <row r="1075" customFormat="false" ht="12.75" hidden="false" customHeight="false" outlineLevel="0" collapsed="false">
      <c r="A1075" s="5" t="n">
        <v>1979</v>
      </c>
      <c r="B1075" s="6" t="s">
        <v>2938</v>
      </c>
      <c r="C1075" s="6" t="s">
        <v>12</v>
      </c>
      <c r="D1075" s="6" t="s">
        <v>2939</v>
      </c>
      <c r="E1075" s="6" t="s">
        <v>14</v>
      </c>
      <c r="F1075" s="6" t="n">
        <v>2081.147925965</v>
      </c>
      <c r="G1075" s="6" t="n">
        <v>2081.148</v>
      </c>
      <c r="H1075" s="6" t="s">
        <v>792</v>
      </c>
      <c r="I1075" s="0" t="n">
        <v>0.4</v>
      </c>
      <c r="J1075" s="0" t="n">
        <f aca="false">CONVERT(G1075,"m^2","ha")</f>
        <v>0.2081148</v>
      </c>
      <c r="K1075" s="0" t="b">
        <f aca="false">IF(J1075&gt;(I1075*2),((ROUNDDOWN(J1075/I1075,0))-1))</f>
        <v>0</v>
      </c>
    </row>
    <row r="1076" customFormat="false" ht="12.75" hidden="false" customHeight="false" outlineLevel="0" collapsed="false">
      <c r="A1076" s="5" t="n">
        <v>1980</v>
      </c>
      <c r="B1076" s="6" t="s">
        <v>2940</v>
      </c>
      <c r="C1076" s="6" t="s">
        <v>12</v>
      </c>
      <c r="D1076" s="6" t="s">
        <v>2941</v>
      </c>
      <c r="E1076" s="6" t="s">
        <v>14</v>
      </c>
      <c r="F1076" s="6" t="n">
        <v>925.513569095</v>
      </c>
      <c r="G1076" s="6" t="n">
        <v>925.514</v>
      </c>
      <c r="H1076" s="6" t="s">
        <v>792</v>
      </c>
      <c r="I1076" s="0" t="n">
        <v>0.4</v>
      </c>
      <c r="J1076" s="0" t="n">
        <f aca="false">CONVERT(G1076,"m^2","ha")</f>
        <v>0.0925514</v>
      </c>
      <c r="K1076" s="0" t="b">
        <f aca="false">IF(J1076&gt;(I1076*2),((ROUNDDOWN(J1076/I1076,0))-1))</f>
        <v>0</v>
      </c>
    </row>
    <row r="1077" customFormat="false" ht="12.75" hidden="false" customHeight="false" outlineLevel="0" collapsed="false">
      <c r="A1077" s="5" t="n">
        <v>1981</v>
      </c>
      <c r="B1077" s="6" t="s">
        <v>2942</v>
      </c>
      <c r="C1077" s="6" t="s">
        <v>89</v>
      </c>
      <c r="D1077" s="6" t="s">
        <v>2943</v>
      </c>
      <c r="E1077" s="6" t="s">
        <v>14</v>
      </c>
      <c r="F1077" s="6" t="n">
        <v>1912.73626395</v>
      </c>
      <c r="G1077" s="6" t="n">
        <v>1912.736</v>
      </c>
      <c r="H1077" s="6" t="s">
        <v>792</v>
      </c>
      <c r="I1077" s="0" t="n">
        <v>0.4</v>
      </c>
      <c r="J1077" s="0" t="n">
        <f aca="false">CONVERT(G1077,"m^2","ha")</f>
        <v>0.1912736</v>
      </c>
      <c r="K1077" s="0" t="b">
        <f aca="false">IF(J1077&gt;(I1077*2),((ROUNDDOWN(J1077/I1077,0))-1))</f>
        <v>0</v>
      </c>
    </row>
    <row r="1078" customFormat="false" ht="12.75" hidden="false" customHeight="false" outlineLevel="0" collapsed="false">
      <c r="A1078" s="5" t="n">
        <v>1982</v>
      </c>
      <c r="B1078" s="6" t="s">
        <v>2944</v>
      </c>
      <c r="C1078" s="6" t="s">
        <v>89</v>
      </c>
      <c r="D1078" s="6" t="s">
        <v>2945</v>
      </c>
      <c r="E1078" s="6" t="s">
        <v>14</v>
      </c>
      <c r="F1078" s="6" t="n">
        <v>2159.34194614</v>
      </c>
      <c r="G1078" s="6" t="n">
        <v>2159.342</v>
      </c>
      <c r="H1078" s="6" t="s">
        <v>792</v>
      </c>
      <c r="I1078" s="0" t="n">
        <v>0.4</v>
      </c>
      <c r="J1078" s="0" t="n">
        <f aca="false">CONVERT(G1078,"m^2","ha")</f>
        <v>0.2159342</v>
      </c>
      <c r="K1078" s="0" t="b">
        <f aca="false">IF(J1078&gt;(I1078*2),((ROUNDDOWN(J1078/I1078,0))-1))</f>
        <v>0</v>
      </c>
    </row>
    <row r="1079" customFormat="false" ht="12.75" hidden="false" customHeight="false" outlineLevel="0" collapsed="false">
      <c r="A1079" s="5" t="n">
        <v>1983</v>
      </c>
      <c r="B1079" s="6" t="s">
        <v>2946</v>
      </c>
      <c r="C1079" s="6" t="s">
        <v>12</v>
      </c>
      <c r="D1079" s="6" t="s">
        <v>2947</v>
      </c>
      <c r="E1079" s="6" t="s">
        <v>14</v>
      </c>
      <c r="F1079" s="6" t="n">
        <v>2107.53894021</v>
      </c>
      <c r="G1079" s="6" t="n">
        <v>2107.539</v>
      </c>
      <c r="H1079" s="6" t="s">
        <v>792</v>
      </c>
      <c r="I1079" s="0" t="n">
        <v>0.4</v>
      </c>
      <c r="J1079" s="0" t="n">
        <f aca="false">CONVERT(G1079,"m^2","ha")</f>
        <v>0.2107539</v>
      </c>
      <c r="K1079" s="0" t="b">
        <f aca="false">IF(J1079&gt;(I1079*2),((ROUNDDOWN(J1079/I1079,0))-1))</f>
        <v>0</v>
      </c>
    </row>
    <row r="1080" customFormat="false" ht="12.75" hidden="false" customHeight="false" outlineLevel="0" collapsed="false">
      <c r="A1080" s="5" t="n">
        <v>1985</v>
      </c>
      <c r="B1080" s="6" t="s">
        <v>2948</v>
      </c>
      <c r="C1080" s="6" t="s">
        <v>12</v>
      </c>
      <c r="D1080" s="6" t="s">
        <v>2949</v>
      </c>
      <c r="E1080" s="6" t="s">
        <v>14</v>
      </c>
      <c r="F1080" s="6" t="n">
        <v>1697.70912786</v>
      </c>
      <c r="G1080" s="6" t="n">
        <v>1697.709</v>
      </c>
      <c r="H1080" s="6" t="s">
        <v>792</v>
      </c>
      <c r="I1080" s="0" t="n">
        <v>0.4</v>
      </c>
      <c r="J1080" s="0" t="n">
        <f aca="false">CONVERT(G1080,"m^2","ha")</f>
        <v>0.1697709</v>
      </c>
      <c r="K1080" s="0" t="b">
        <f aca="false">IF(J1080&gt;(I1080*2),((ROUNDDOWN(J1080/I1080,0))-1))</f>
        <v>0</v>
      </c>
    </row>
    <row r="1081" customFormat="false" ht="12.75" hidden="false" customHeight="false" outlineLevel="0" collapsed="false">
      <c r="A1081" s="5" t="n">
        <v>1986</v>
      </c>
      <c r="B1081" s="6" t="s">
        <v>2950</v>
      </c>
      <c r="C1081" s="6" t="s">
        <v>12</v>
      </c>
      <c r="D1081" s="6" t="s">
        <v>2951</v>
      </c>
      <c r="E1081" s="6" t="s">
        <v>14</v>
      </c>
      <c r="F1081" s="6" t="n">
        <v>1042.041604965</v>
      </c>
      <c r="G1081" s="6" t="n">
        <v>1042.042</v>
      </c>
      <c r="H1081" s="6" t="s">
        <v>792</v>
      </c>
      <c r="I1081" s="0" t="n">
        <v>0.4</v>
      </c>
      <c r="J1081" s="0" t="n">
        <f aca="false">CONVERT(G1081,"m^2","ha")</f>
        <v>0.1042042</v>
      </c>
      <c r="K1081" s="0" t="b">
        <f aca="false">IF(J1081&gt;(I1081*2),((ROUNDDOWN(J1081/I1081,0))-1))</f>
        <v>0</v>
      </c>
    </row>
    <row r="1082" customFormat="false" ht="12.75" hidden="false" customHeight="false" outlineLevel="0" collapsed="false">
      <c r="A1082" s="5" t="n">
        <v>1987</v>
      </c>
      <c r="B1082" s="6" t="s">
        <v>2952</v>
      </c>
      <c r="C1082" s="6" t="s">
        <v>12</v>
      </c>
      <c r="D1082" s="6" t="s">
        <v>2953</v>
      </c>
      <c r="E1082" s="6" t="s">
        <v>14</v>
      </c>
      <c r="F1082" s="6" t="n">
        <v>3664.78587007</v>
      </c>
      <c r="G1082" s="6" t="n">
        <v>3664.786</v>
      </c>
      <c r="H1082" s="6" t="s">
        <v>792</v>
      </c>
      <c r="I1082" s="0" t="n">
        <v>0.4</v>
      </c>
      <c r="J1082" s="0" t="n">
        <f aca="false">CONVERT(G1082,"m^2","ha")</f>
        <v>0.3664786</v>
      </c>
      <c r="K1082" s="0" t="b">
        <f aca="false">IF(J1082&gt;(I1082*2),((ROUNDDOWN(J1082/I1082,0))-1))</f>
        <v>0</v>
      </c>
    </row>
    <row r="1083" customFormat="false" ht="12.75" hidden="false" customHeight="false" outlineLevel="0" collapsed="false">
      <c r="A1083" s="5" t="n">
        <v>1988</v>
      </c>
      <c r="B1083" s="6" t="s">
        <v>2954</v>
      </c>
      <c r="C1083" s="6" t="s">
        <v>12</v>
      </c>
      <c r="D1083" s="6" t="s">
        <v>2955</v>
      </c>
      <c r="E1083" s="6" t="s">
        <v>14</v>
      </c>
      <c r="F1083" s="6" t="n">
        <v>2429.714873515</v>
      </c>
      <c r="G1083" s="6" t="n">
        <v>2429.715</v>
      </c>
      <c r="H1083" s="6" t="s">
        <v>792</v>
      </c>
      <c r="I1083" s="0" t="n">
        <v>0.4</v>
      </c>
      <c r="J1083" s="0" t="n">
        <f aca="false">CONVERT(G1083,"m^2","ha")</f>
        <v>0.2429715</v>
      </c>
      <c r="K1083" s="0" t="b">
        <f aca="false">IF(J1083&gt;(I1083*2),((ROUNDDOWN(J1083/I1083,0))-1))</f>
        <v>0</v>
      </c>
    </row>
    <row r="1084" customFormat="false" ht="12.75" hidden="false" customHeight="false" outlineLevel="0" collapsed="false">
      <c r="A1084" s="5" t="n">
        <v>1989</v>
      </c>
      <c r="B1084" s="6" t="s">
        <v>2956</v>
      </c>
      <c r="C1084" s="6" t="s">
        <v>12</v>
      </c>
      <c r="D1084" s="6" t="s">
        <v>2957</v>
      </c>
      <c r="E1084" s="6" t="s">
        <v>14</v>
      </c>
      <c r="F1084" s="6" t="n">
        <v>3846.144338925</v>
      </c>
      <c r="G1084" s="6" t="n">
        <v>3846.144</v>
      </c>
      <c r="H1084" s="6" t="s">
        <v>792</v>
      </c>
      <c r="I1084" s="0" t="n">
        <v>0.4</v>
      </c>
      <c r="J1084" s="0" t="n">
        <f aca="false">CONVERT(G1084,"m^2","ha")</f>
        <v>0.3846144</v>
      </c>
      <c r="K1084" s="0" t="b">
        <f aca="false">IF(J1084&gt;(I1084*2),((ROUNDDOWN(J1084/I1084,0))-1))</f>
        <v>0</v>
      </c>
    </row>
    <row r="1085" customFormat="false" ht="12.75" hidden="false" customHeight="false" outlineLevel="0" collapsed="false">
      <c r="A1085" s="5" t="n">
        <v>1990</v>
      </c>
      <c r="B1085" s="6" t="s">
        <v>2958</v>
      </c>
      <c r="C1085" s="6" t="s">
        <v>12</v>
      </c>
      <c r="D1085" s="6" t="s">
        <v>2959</v>
      </c>
      <c r="E1085" s="6" t="s">
        <v>14</v>
      </c>
      <c r="F1085" s="6" t="n">
        <v>829.767331745</v>
      </c>
      <c r="G1085" s="6" t="n">
        <v>829.767</v>
      </c>
      <c r="H1085" s="6" t="s">
        <v>792</v>
      </c>
      <c r="I1085" s="0" t="n">
        <v>0.4</v>
      </c>
      <c r="J1085" s="0" t="n">
        <f aca="false">CONVERT(G1085,"m^2","ha")</f>
        <v>0.0829767</v>
      </c>
      <c r="K1085" s="0" t="b">
        <f aca="false">IF(J1085&gt;(I1085*2),((ROUNDDOWN(J1085/I1085,0))-1))</f>
        <v>0</v>
      </c>
    </row>
    <row r="1086" customFormat="false" ht="12.75" hidden="false" customHeight="false" outlineLevel="0" collapsed="false">
      <c r="A1086" s="5" t="n">
        <v>1991</v>
      </c>
      <c r="B1086" s="6" t="s">
        <v>2960</v>
      </c>
      <c r="C1086" s="6" t="s">
        <v>12</v>
      </c>
      <c r="D1086" s="6" t="s">
        <v>2961</v>
      </c>
      <c r="E1086" s="6" t="s">
        <v>14</v>
      </c>
      <c r="F1086" s="6" t="n">
        <v>2975.879346675</v>
      </c>
      <c r="G1086" s="6" t="n">
        <v>2975.879</v>
      </c>
      <c r="H1086" s="6" t="s">
        <v>792</v>
      </c>
      <c r="I1086" s="0" t="n">
        <v>0.4</v>
      </c>
      <c r="J1086" s="0" t="n">
        <f aca="false">CONVERT(G1086,"m^2","ha")</f>
        <v>0.2975879</v>
      </c>
      <c r="K1086" s="0" t="b">
        <f aca="false">IF(J1086&gt;(I1086*2),((ROUNDDOWN(J1086/I1086,0))-1))</f>
        <v>0</v>
      </c>
    </row>
    <row r="1087" customFormat="false" ht="12.75" hidden="false" customHeight="false" outlineLevel="0" collapsed="false">
      <c r="A1087" s="5" t="n">
        <v>1992</v>
      </c>
      <c r="B1087" s="6" t="s">
        <v>2962</v>
      </c>
      <c r="C1087" s="6" t="s">
        <v>12</v>
      </c>
      <c r="D1087" s="6" t="s">
        <v>2963</v>
      </c>
      <c r="E1087" s="6" t="s">
        <v>14</v>
      </c>
      <c r="F1087" s="6" t="n">
        <v>3089.707656525</v>
      </c>
      <c r="G1087" s="6" t="n">
        <v>3089.708</v>
      </c>
      <c r="H1087" s="6" t="s">
        <v>792</v>
      </c>
      <c r="I1087" s="0" t="n">
        <v>0.4</v>
      </c>
      <c r="J1087" s="0" t="n">
        <f aca="false">CONVERT(G1087,"m^2","ha")</f>
        <v>0.3089708</v>
      </c>
      <c r="K1087" s="0" t="b">
        <f aca="false">IF(J1087&gt;(I1087*2),((ROUNDDOWN(J1087/I1087,0))-1))</f>
        <v>0</v>
      </c>
    </row>
    <row r="1088" customFormat="false" ht="12.75" hidden="false" customHeight="false" outlineLevel="0" collapsed="false">
      <c r="A1088" s="5" t="n">
        <v>1994</v>
      </c>
      <c r="B1088" s="6" t="s">
        <v>2964</v>
      </c>
      <c r="C1088" s="6" t="s">
        <v>12</v>
      </c>
      <c r="D1088" s="6" t="s">
        <v>2965</v>
      </c>
      <c r="E1088" s="6" t="s">
        <v>14</v>
      </c>
      <c r="F1088" s="6" t="n">
        <v>746.59580236</v>
      </c>
      <c r="G1088" s="6" t="n">
        <v>746.596</v>
      </c>
      <c r="H1088" s="6" t="s">
        <v>792</v>
      </c>
      <c r="I1088" s="0" t="n">
        <v>0.4</v>
      </c>
      <c r="J1088" s="0" t="n">
        <f aca="false">CONVERT(G1088,"m^2","ha")</f>
        <v>0.0746596</v>
      </c>
      <c r="K1088" s="0" t="b">
        <f aca="false">IF(J1088&gt;(I1088*2),((ROUNDDOWN(J1088/I1088,0))-1))</f>
        <v>0</v>
      </c>
    </row>
    <row r="1089" customFormat="false" ht="12.75" hidden="false" customHeight="false" outlineLevel="0" collapsed="false">
      <c r="A1089" s="5" t="n">
        <v>1995</v>
      </c>
      <c r="B1089" s="6" t="s">
        <v>2966</v>
      </c>
      <c r="C1089" s="6" t="s">
        <v>12</v>
      </c>
      <c r="D1089" s="6" t="s">
        <v>2967</v>
      </c>
      <c r="E1089" s="6" t="s">
        <v>14</v>
      </c>
      <c r="F1089" s="6" t="n">
        <v>613.185420755</v>
      </c>
      <c r="G1089" s="6" t="n">
        <v>613.185</v>
      </c>
      <c r="H1089" s="6" t="s">
        <v>792</v>
      </c>
      <c r="I1089" s="0" t="n">
        <v>0.4</v>
      </c>
      <c r="J1089" s="0" t="n">
        <f aca="false">CONVERT(G1089,"m^2","ha")</f>
        <v>0.0613185</v>
      </c>
      <c r="K1089" s="0" t="b">
        <f aca="false">IF(J1089&gt;(I1089*2),((ROUNDDOWN(J1089/I1089,0))-1))</f>
        <v>0</v>
      </c>
    </row>
    <row r="1090" customFormat="false" ht="12.75" hidden="false" customHeight="false" outlineLevel="0" collapsed="false">
      <c r="A1090" s="5" t="n">
        <v>1996</v>
      </c>
      <c r="B1090" s="6" t="s">
        <v>2968</v>
      </c>
      <c r="C1090" s="6" t="s">
        <v>12</v>
      </c>
      <c r="D1090" s="6" t="s">
        <v>2969</v>
      </c>
      <c r="E1090" s="6" t="s">
        <v>14</v>
      </c>
      <c r="F1090" s="6" t="n">
        <v>1013.8005324</v>
      </c>
      <c r="G1090" s="6" t="n">
        <v>1013.801</v>
      </c>
      <c r="H1090" s="6" t="s">
        <v>792</v>
      </c>
      <c r="I1090" s="0" t="n">
        <v>0.4</v>
      </c>
      <c r="J1090" s="0" t="n">
        <f aca="false">CONVERT(G1090,"m^2","ha")</f>
        <v>0.1013801</v>
      </c>
      <c r="K1090" s="0" t="b">
        <f aca="false">IF(J1090&gt;(I1090*2),((ROUNDDOWN(J1090/I1090,0))-1))</f>
        <v>0</v>
      </c>
    </row>
    <row r="1091" customFormat="false" ht="12.75" hidden="false" customHeight="false" outlineLevel="0" collapsed="false">
      <c r="A1091" s="5" t="n">
        <v>1997</v>
      </c>
      <c r="B1091" s="6" t="s">
        <v>2970</v>
      </c>
      <c r="C1091" s="6" t="s">
        <v>12</v>
      </c>
      <c r="D1091" s="6" t="s">
        <v>2971</v>
      </c>
      <c r="E1091" s="6" t="s">
        <v>14</v>
      </c>
      <c r="F1091" s="6" t="n">
        <v>876.579689515</v>
      </c>
      <c r="G1091" s="6" t="n">
        <v>876.58</v>
      </c>
      <c r="H1091" s="6" t="s">
        <v>792</v>
      </c>
      <c r="I1091" s="0" t="n">
        <v>0.4</v>
      </c>
      <c r="J1091" s="0" t="n">
        <f aca="false">CONVERT(G1091,"m^2","ha")</f>
        <v>0.087658</v>
      </c>
      <c r="K1091" s="0" t="b">
        <f aca="false">IF(J1091&gt;(I1091*2),((ROUNDDOWN(J1091/I1091,0))-1))</f>
        <v>0</v>
      </c>
    </row>
    <row r="1092" customFormat="false" ht="12.75" hidden="false" customHeight="false" outlineLevel="0" collapsed="false">
      <c r="A1092" s="5" t="n">
        <v>2000</v>
      </c>
      <c r="B1092" s="6" t="s">
        <v>2972</v>
      </c>
      <c r="C1092" s="6" t="s">
        <v>12</v>
      </c>
      <c r="D1092" s="6" t="s">
        <v>2973</v>
      </c>
      <c r="E1092" s="6" t="s">
        <v>14</v>
      </c>
      <c r="F1092" s="6" t="n">
        <v>670.744549375</v>
      </c>
      <c r="G1092" s="6" t="n">
        <v>670.745</v>
      </c>
      <c r="H1092" s="6" t="s">
        <v>792</v>
      </c>
      <c r="I1092" s="0" t="n">
        <v>0.4</v>
      </c>
      <c r="J1092" s="0" t="n">
        <f aca="false">CONVERT(G1092,"m^2","ha")</f>
        <v>0.0670745</v>
      </c>
      <c r="K1092" s="0" t="b">
        <f aca="false">IF(J1092&gt;(I1092*2),((ROUNDDOWN(J1092/I1092,0))-1))</f>
        <v>0</v>
      </c>
    </row>
    <row r="1093" customFormat="false" ht="12.75" hidden="false" customHeight="false" outlineLevel="0" collapsed="false">
      <c r="A1093" s="5" t="n">
        <v>2001</v>
      </c>
      <c r="B1093" s="6" t="s">
        <v>2974</v>
      </c>
      <c r="C1093" s="6" t="s">
        <v>12</v>
      </c>
      <c r="D1093" s="6" t="s">
        <v>2975</v>
      </c>
      <c r="E1093" s="6" t="s">
        <v>14</v>
      </c>
      <c r="F1093" s="6" t="n">
        <v>1867.788713955</v>
      </c>
      <c r="G1093" s="6" t="n">
        <v>1867.789</v>
      </c>
      <c r="H1093" s="6" t="s">
        <v>792</v>
      </c>
      <c r="I1093" s="0" t="n">
        <v>0.4</v>
      </c>
      <c r="J1093" s="0" t="n">
        <f aca="false">CONVERT(G1093,"m^2","ha")</f>
        <v>0.1867789</v>
      </c>
      <c r="K1093" s="0" t="b">
        <f aca="false">IF(J1093&gt;(I1093*2),((ROUNDDOWN(J1093/I1093,0))-1))</f>
        <v>0</v>
      </c>
    </row>
    <row r="1094" customFormat="false" ht="12.75" hidden="false" customHeight="false" outlineLevel="0" collapsed="false">
      <c r="A1094" s="5" t="n">
        <v>2002</v>
      </c>
      <c r="B1094" s="6" t="s">
        <v>2976</v>
      </c>
      <c r="C1094" s="6" t="s">
        <v>12</v>
      </c>
      <c r="D1094" s="6" t="s">
        <v>2977</v>
      </c>
      <c r="E1094" s="6" t="s">
        <v>14</v>
      </c>
      <c r="F1094" s="6" t="n">
        <v>973.3067114</v>
      </c>
      <c r="G1094" s="6" t="n">
        <v>973.307</v>
      </c>
      <c r="H1094" s="6" t="s">
        <v>792</v>
      </c>
      <c r="I1094" s="0" t="n">
        <v>0.4</v>
      </c>
      <c r="J1094" s="0" t="n">
        <f aca="false">CONVERT(G1094,"m^2","ha")</f>
        <v>0.0973307</v>
      </c>
      <c r="K1094" s="0" t="b">
        <f aca="false">IF(J1094&gt;(I1094*2),((ROUNDDOWN(J1094/I1094,0))-1))</f>
        <v>0</v>
      </c>
    </row>
    <row r="1095" customFormat="false" ht="12.75" hidden="false" customHeight="false" outlineLevel="0" collapsed="false">
      <c r="A1095" s="5" t="n">
        <v>2003</v>
      </c>
      <c r="B1095" s="6" t="s">
        <v>2978</v>
      </c>
      <c r="C1095" s="6" t="s">
        <v>12</v>
      </c>
      <c r="D1095" s="6" t="s">
        <v>2979</v>
      </c>
      <c r="E1095" s="6" t="s">
        <v>14</v>
      </c>
      <c r="F1095" s="6" t="n">
        <v>1410.72026157</v>
      </c>
      <c r="G1095" s="6" t="n">
        <v>1410.72</v>
      </c>
      <c r="H1095" s="6" t="s">
        <v>792</v>
      </c>
      <c r="I1095" s="0" t="n">
        <v>0.4</v>
      </c>
      <c r="J1095" s="0" t="n">
        <f aca="false">CONVERT(G1095,"m^2","ha")</f>
        <v>0.141072</v>
      </c>
      <c r="K1095" s="0" t="b">
        <f aca="false">IF(J1095&gt;(I1095*2),((ROUNDDOWN(J1095/I1095,0))-1))</f>
        <v>0</v>
      </c>
    </row>
    <row r="1096" customFormat="false" ht="12.75" hidden="false" customHeight="false" outlineLevel="0" collapsed="false">
      <c r="A1096" s="5" t="n">
        <v>2004</v>
      </c>
      <c r="B1096" s="6" t="s">
        <v>2980</v>
      </c>
      <c r="C1096" s="6" t="s">
        <v>12</v>
      </c>
      <c r="D1096" s="6" t="s">
        <v>2981</v>
      </c>
      <c r="E1096" s="6" t="s">
        <v>14</v>
      </c>
      <c r="F1096" s="6" t="n">
        <v>2443.26023542</v>
      </c>
      <c r="G1096" s="6" t="n">
        <v>2443.26</v>
      </c>
      <c r="H1096" s="6" t="s">
        <v>792</v>
      </c>
      <c r="I1096" s="0" t="n">
        <v>0.4</v>
      </c>
      <c r="J1096" s="0" t="n">
        <f aca="false">CONVERT(G1096,"m^2","ha")</f>
        <v>0.244326</v>
      </c>
      <c r="K1096" s="0" t="b">
        <f aca="false">IF(J1096&gt;(I1096*2),((ROUNDDOWN(J1096/I1096,0))-1))</f>
        <v>0</v>
      </c>
    </row>
    <row r="1097" customFormat="false" ht="12.75" hidden="false" customHeight="false" outlineLevel="0" collapsed="false">
      <c r="A1097" s="5" t="n">
        <v>2005</v>
      </c>
      <c r="B1097" s="6" t="s">
        <v>2982</v>
      </c>
      <c r="C1097" s="6" t="s">
        <v>12</v>
      </c>
      <c r="D1097" s="6" t="s">
        <v>2983</v>
      </c>
      <c r="E1097" s="6" t="s">
        <v>14</v>
      </c>
      <c r="F1097" s="6" t="n">
        <v>1758.513609335</v>
      </c>
      <c r="G1097" s="6" t="n">
        <v>1758.514</v>
      </c>
      <c r="H1097" s="6" t="s">
        <v>792</v>
      </c>
      <c r="I1097" s="0" t="n">
        <v>0.4</v>
      </c>
      <c r="J1097" s="0" t="n">
        <f aca="false">CONVERT(G1097,"m^2","ha")</f>
        <v>0.1758514</v>
      </c>
      <c r="K1097" s="0" t="b">
        <f aca="false">IF(J1097&gt;(I1097*2),((ROUNDDOWN(J1097/I1097,0))-1))</f>
        <v>0</v>
      </c>
    </row>
    <row r="1098" customFormat="false" ht="12.75" hidden="false" customHeight="false" outlineLevel="0" collapsed="false">
      <c r="A1098" s="5" t="n">
        <v>2006</v>
      </c>
      <c r="B1098" s="6" t="s">
        <v>2984</v>
      </c>
      <c r="C1098" s="6" t="s">
        <v>12</v>
      </c>
      <c r="D1098" s="6" t="s">
        <v>2985</v>
      </c>
      <c r="E1098" s="6" t="s">
        <v>14</v>
      </c>
      <c r="F1098" s="6" t="n">
        <v>7162.98386686</v>
      </c>
      <c r="G1098" s="6" t="n">
        <v>7162.984</v>
      </c>
      <c r="H1098" s="6" t="s">
        <v>792</v>
      </c>
      <c r="I1098" s="0" t="n">
        <v>0.4</v>
      </c>
      <c r="J1098" s="0" t="n">
        <f aca="false">CONVERT(G1098,"m^2","ha")</f>
        <v>0.7162984</v>
      </c>
      <c r="K1098" s="0" t="b">
        <f aca="false">IF(J1098&gt;(I1098*2),((ROUNDDOWN(J1098/I1098,0))-1))</f>
        <v>0</v>
      </c>
    </row>
    <row r="1099" customFormat="false" ht="12.75" hidden="false" customHeight="false" outlineLevel="0" collapsed="false">
      <c r="A1099" s="5" t="n">
        <v>2007</v>
      </c>
      <c r="B1099" s="6" t="s">
        <v>2986</v>
      </c>
      <c r="C1099" s="6" t="s">
        <v>12</v>
      </c>
      <c r="D1099" s="6" t="s">
        <v>2987</v>
      </c>
      <c r="E1099" s="6" t="s">
        <v>14</v>
      </c>
      <c r="F1099" s="6" t="n">
        <v>3784.49872821</v>
      </c>
      <c r="G1099" s="6" t="n">
        <v>3784.499</v>
      </c>
      <c r="H1099" s="6" t="s">
        <v>792</v>
      </c>
      <c r="I1099" s="0" t="n">
        <v>0.4</v>
      </c>
      <c r="J1099" s="0" t="n">
        <f aca="false">CONVERT(G1099,"m^2","ha")</f>
        <v>0.3784499</v>
      </c>
      <c r="K1099" s="0" t="b">
        <f aca="false">IF(J1099&gt;(I1099*2),((ROUNDDOWN(J1099/I1099,0))-1))</f>
        <v>0</v>
      </c>
    </row>
    <row r="1100" customFormat="false" ht="12.75" hidden="false" customHeight="false" outlineLevel="0" collapsed="false">
      <c r="A1100" s="5" t="n">
        <v>2008</v>
      </c>
      <c r="B1100" s="6" t="s">
        <v>2988</v>
      </c>
      <c r="C1100" s="6" t="s">
        <v>12</v>
      </c>
      <c r="D1100" s="6" t="s">
        <v>2989</v>
      </c>
      <c r="E1100" s="6" t="s">
        <v>14</v>
      </c>
      <c r="F1100" s="6" t="n">
        <v>10572.5243977</v>
      </c>
      <c r="G1100" s="6" t="n">
        <v>10572.524</v>
      </c>
      <c r="H1100" s="6" t="s">
        <v>792</v>
      </c>
      <c r="I1100" s="0" t="n">
        <v>0.4</v>
      </c>
      <c r="J1100" s="0" t="n">
        <f aca="false">CONVERT(G1100,"m^2","ha")</f>
        <v>1.0572524</v>
      </c>
      <c r="K1100" s="0" t="n">
        <f aca="false">IF(J1100&gt;(I1100*2),((ROUNDDOWN(J1100/I1100,0))-1))</f>
        <v>1</v>
      </c>
    </row>
    <row r="1101" customFormat="false" ht="12.75" hidden="false" customHeight="false" outlineLevel="0" collapsed="false">
      <c r="A1101" s="5" t="n">
        <v>2009</v>
      </c>
      <c r="B1101" s="6" t="s">
        <v>2990</v>
      </c>
      <c r="C1101" s="6" t="s">
        <v>12</v>
      </c>
      <c r="D1101" s="6" t="s">
        <v>2991</v>
      </c>
      <c r="E1101" s="6" t="s">
        <v>14</v>
      </c>
      <c r="F1101" s="6" t="n">
        <v>1347.132397295</v>
      </c>
      <c r="G1101" s="6" t="n">
        <v>1347.132</v>
      </c>
      <c r="H1101" s="6" t="s">
        <v>792</v>
      </c>
      <c r="I1101" s="0" t="n">
        <v>0.4</v>
      </c>
      <c r="J1101" s="0" t="n">
        <f aca="false">CONVERT(G1101,"m^2","ha")</f>
        <v>0.1347132</v>
      </c>
      <c r="K1101" s="0" t="b">
        <f aca="false">IF(J1101&gt;(I1101*2),((ROUNDDOWN(J1101/I1101,0))-1))</f>
        <v>0</v>
      </c>
    </row>
    <row r="1102" customFormat="false" ht="12.75" hidden="false" customHeight="false" outlineLevel="0" collapsed="false">
      <c r="A1102" s="5" t="n">
        <v>2010</v>
      </c>
      <c r="B1102" s="6" t="s">
        <v>2992</v>
      </c>
      <c r="C1102" s="6" t="s">
        <v>12</v>
      </c>
      <c r="D1102" s="6" t="s">
        <v>2993</v>
      </c>
      <c r="E1102" s="6" t="s">
        <v>14</v>
      </c>
      <c r="F1102" s="6" t="n">
        <v>3054.579190615</v>
      </c>
      <c r="G1102" s="6" t="n">
        <v>3054.579</v>
      </c>
      <c r="H1102" s="6" t="s">
        <v>792</v>
      </c>
      <c r="I1102" s="0" t="n">
        <v>0.4</v>
      </c>
      <c r="J1102" s="0" t="n">
        <f aca="false">CONVERT(G1102,"m^2","ha")</f>
        <v>0.3054579</v>
      </c>
      <c r="K1102" s="0" t="b">
        <f aca="false">IF(J1102&gt;(I1102*2),((ROUNDDOWN(J1102/I1102,0))-1))</f>
        <v>0</v>
      </c>
    </row>
    <row r="1103" customFormat="false" ht="12.75" hidden="false" customHeight="false" outlineLevel="0" collapsed="false">
      <c r="A1103" s="5" t="n">
        <v>2011</v>
      </c>
      <c r="B1103" s="6" t="s">
        <v>2994</v>
      </c>
      <c r="C1103" s="6" t="s">
        <v>12</v>
      </c>
      <c r="D1103" s="6" t="s">
        <v>2995</v>
      </c>
      <c r="E1103" s="6" t="s">
        <v>14</v>
      </c>
      <c r="F1103" s="6" t="n">
        <v>669.22055215</v>
      </c>
      <c r="G1103" s="6" t="n">
        <v>669.221</v>
      </c>
      <c r="H1103" s="6" t="s">
        <v>792</v>
      </c>
      <c r="I1103" s="0" t="n">
        <v>0.4</v>
      </c>
      <c r="J1103" s="0" t="n">
        <f aca="false">CONVERT(G1103,"m^2","ha")</f>
        <v>0.0669221</v>
      </c>
      <c r="K1103" s="0" t="b">
        <f aca="false">IF(J1103&gt;(I1103*2),((ROUNDDOWN(J1103/I1103,0))-1))</f>
        <v>0</v>
      </c>
    </row>
    <row r="1104" customFormat="false" ht="12.75" hidden="false" customHeight="false" outlineLevel="0" collapsed="false">
      <c r="A1104" s="5" t="n">
        <v>2012</v>
      </c>
      <c r="B1104" s="6" t="s">
        <v>2996</v>
      </c>
      <c r="C1104" s="6" t="s">
        <v>12</v>
      </c>
      <c r="D1104" s="6" t="s">
        <v>2997</v>
      </c>
      <c r="E1104" s="6" t="s">
        <v>14</v>
      </c>
      <c r="F1104" s="6" t="n">
        <v>1422.573367695</v>
      </c>
      <c r="G1104" s="6" t="n">
        <v>1422.573</v>
      </c>
      <c r="H1104" s="6" t="s">
        <v>792</v>
      </c>
      <c r="I1104" s="0" t="n">
        <v>0.4</v>
      </c>
      <c r="J1104" s="0" t="n">
        <f aca="false">CONVERT(G1104,"m^2","ha")</f>
        <v>0.1422573</v>
      </c>
      <c r="K1104" s="0" t="b">
        <f aca="false">IF(J1104&gt;(I1104*2),((ROUNDDOWN(J1104/I1104,0))-1))</f>
        <v>0</v>
      </c>
    </row>
    <row r="1105" customFormat="false" ht="12.75" hidden="false" customHeight="false" outlineLevel="0" collapsed="false">
      <c r="A1105" s="5" t="n">
        <v>2013</v>
      </c>
      <c r="B1105" s="6" t="s">
        <v>2998</v>
      </c>
      <c r="C1105" s="6" t="s">
        <v>12</v>
      </c>
      <c r="D1105" s="6" t="s">
        <v>2999</v>
      </c>
      <c r="E1105" s="6" t="s">
        <v>14</v>
      </c>
      <c r="F1105" s="6" t="n">
        <v>2134.297518135</v>
      </c>
      <c r="G1105" s="6" t="n">
        <v>2134.298</v>
      </c>
      <c r="H1105" s="6" t="s">
        <v>792</v>
      </c>
      <c r="I1105" s="0" t="n">
        <v>0.4</v>
      </c>
      <c r="J1105" s="0" t="n">
        <f aca="false">CONVERT(G1105,"m^2","ha")</f>
        <v>0.2134298</v>
      </c>
      <c r="K1105" s="0" t="b">
        <f aca="false">IF(J1105&gt;(I1105*2),((ROUNDDOWN(J1105/I1105,0))-1))</f>
        <v>0</v>
      </c>
    </row>
    <row r="1106" customFormat="false" ht="12.75" hidden="false" customHeight="false" outlineLevel="0" collapsed="false">
      <c r="A1106" s="5" t="n">
        <v>2014</v>
      </c>
      <c r="B1106" s="6" t="s">
        <v>3000</v>
      </c>
      <c r="C1106" s="6" t="s">
        <v>12</v>
      </c>
      <c r="D1106" s="6" t="s">
        <v>3001</v>
      </c>
      <c r="E1106" s="6" t="s">
        <v>14</v>
      </c>
      <c r="F1106" s="6" t="n">
        <v>2438.1981568</v>
      </c>
      <c r="G1106" s="6" t="n">
        <v>2438.198</v>
      </c>
      <c r="H1106" s="6" t="s">
        <v>792</v>
      </c>
      <c r="I1106" s="0" t="n">
        <v>0.4</v>
      </c>
      <c r="J1106" s="0" t="n">
        <f aca="false">CONVERT(G1106,"m^2","ha")</f>
        <v>0.2438198</v>
      </c>
      <c r="K1106" s="0" t="b">
        <f aca="false">IF(J1106&gt;(I1106*2),((ROUNDDOWN(J1106/I1106,0))-1))</f>
        <v>0</v>
      </c>
    </row>
    <row r="1107" customFormat="false" ht="12.75" hidden="false" customHeight="false" outlineLevel="0" collapsed="false">
      <c r="A1107" s="5" t="n">
        <v>2015</v>
      </c>
      <c r="B1107" s="6" t="s">
        <v>3002</v>
      </c>
      <c r="C1107" s="6" t="s">
        <v>12</v>
      </c>
      <c r="D1107" s="6" t="s">
        <v>3003</v>
      </c>
      <c r="E1107" s="6" t="s">
        <v>14</v>
      </c>
      <c r="F1107" s="6" t="n">
        <v>1533.468455805</v>
      </c>
      <c r="G1107" s="6" t="n">
        <v>1533.468</v>
      </c>
      <c r="H1107" s="6" t="s">
        <v>792</v>
      </c>
      <c r="I1107" s="0" t="n">
        <v>0.4</v>
      </c>
      <c r="J1107" s="0" t="n">
        <f aca="false">CONVERT(G1107,"m^2","ha")</f>
        <v>0.1533468</v>
      </c>
      <c r="K1107" s="0" t="b">
        <f aca="false">IF(J1107&gt;(I1107*2),((ROUNDDOWN(J1107/I1107,0))-1))</f>
        <v>0</v>
      </c>
    </row>
    <row r="1108" customFormat="false" ht="12.75" hidden="false" customHeight="false" outlineLevel="0" collapsed="false">
      <c r="A1108" s="5" t="n">
        <v>2016</v>
      </c>
      <c r="B1108" s="6" t="s">
        <v>3004</v>
      </c>
      <c r="C1108" s="6" t="s">
        <v>12</v>
      </c>
      <c r="D1108" s="6" t="s">
        <v>3005</v>
      </c>
      <c r="E1108" s="6" t="s">
        <v>14</v>
      </c>
      <c r="F1108" s="6" t="n">
        <v>1274.28967263</v>
      </c>
      <c r="G1108" s="6" t="n">
        <v>1274.29</v>
      </c>
      <c r="H1108" s="6" t="s">
        <v>792</v>
      </c>
      <c r="I1108" s="0" t="n">
        <v>0.4</v>
      </c>
      <c r="J1108" s="0" t="n">
        <f aca="false">CONVERT(G1108,"m^2","ha")</f>
        <v>0.127429</v>
      </c>
      <c r="K1108" s="0" t="b">
        <f aca="false">IF(J1108&gt;(I1108*2),((ROUNDDOWN(J1108/I1108,0))-1))</f>
        <v>0</v>
      </c>
    </row>
    <row r="1109" customFormat="false" ht="12.75" hidden="false" customHeight="false" outlineLevel="0" collapsed="false">
      <c r="A1109" s="5" t="n">
        <v>2017</v>
      </c>
      <c r="B1109" s="6" t="s">
        <v>3006</v>
      </c>
      <c r="C1109" s="6" t="s">
        <v>12</v>
      </c>
      <c r="D1109" s="6" t="s">
        <v>3007</v>
      </c>
      <c r="E1109" s="6" t="s">
        <v>14</v>
      </c>
      <c r="F1109" s="6" t="n">
        <v>905.98414388</v>
      </c>
      <c r="G1109" s="6" t="n">
        <v>905.984</v>
      </c>
      <c r="H1109" s="6" t="s">
        <v>792</v>
      </c>
      <c r="I1109" s="0" t="n">
        <v>0.4</v>
      </c>
      <c r="J1109" s="0" t="n">
        <f aca="false">CONVERT(G1109,"m^2","ha")</f>
        <v>0.0905984</v>
      </c>
      <c r="K1109" s="0" t="b">
        <f aca="false">IF(J1109&gt;(I1109*2),((ROUNDDOWN(J1109/I1109,0))-1))</f>
        <v>0</v>
      </c>
    </row>
    <row r="1110" customFormat="false" ht="12.75" hidden="false" customHeight="false" outlineLevel="0" collapsed="false">
      <c r="A1110" s="5" t="n">
        <v>2018</v>
      </c>
      <c r="B1110" s="6" t="s">
        <v>3008</v>
      </c>
      <c r="C1110" s="6" t="s">
        <v>12</v>
      </c>
      <c r="D1110" s="6" t="s">
        <v>3009</v>
      </c>
      <c r="E1110" s="6" t="s">
        <v>14</v>
      </c>
      <c r="F1110" s="6" t="n">
        <v>8272.64995421</v>
      </c>
      <c r="G1110" s="6" t="n">
        <v>8272.65</v>
      </c>
      <c r="H1110" s="6" t="s">
        <v>792</v>
      </c>
      <c r="I1110" s="0" t="n">
        <v>0.4</v>
      </c>
      <c r="J1110" s="0" t="n">
        <f aca="false">CONVERT(G1110,"m^2","ha")</f>
        <v>0.827265</v>
      </c>
      <c r="K1110" s="0" t="n">
        <f aca="false">IF(J1110&gt;(I1110*2),((ROUNDDOWN(J1110/I1110,0))-1))</f>
        <v>1</v>
      </c>
    </row>
    <row r="1111" customFormat="false" ht="12.75" hidden="false" customHeight="false" outlineLevel="0" collapsed="false">
      <c r="A1111" s="5" t="n">
        <v>2019</v>
      </c>
      <c r="B1111" s="6" t="s">
        <v>3010</v>
      </c>
      <c r="C1111" s="6" t="s">
        <v>12</v>
      </c>
      <c r="D1111" s="6" t="s">
        <v>3011</v>
      </c>
      <c r="E1111" s="6" t="s">
        <v>14</v>
      </c>
      <c r="F1111" s="6" t="n">
        <v>2687.81662151</v>
      </c>
      <c r="G1111" s="6" t="n">
        <v>2687.817</v>
      </c>
      <c r="H1111" s="6" t="s">
        <v>792</v>
      </c>
      <c r="I1111" s="0" t="n">
        <v>0.4</v>
      </c>
      <c r="J1111" s="0" t="n">
        <f aca="false">CONVERT(G1111,"m^2","ha")</f>
        <v>0.2687817</v>
      </c>
      <c r="K1111" s="0" t="b">
        <f aca="false">IF(J1111&gt;(I1111*2),((ROUNDDOWN(J1111/I1111,0))-1))</f>
        <v>0</v>
      </c>
    </row>
    <row r="1112" customFormat="false" ht="12.75" hidden="false" customHeight="false" outlineLevel="0" collapsed="false">
      <c r="A1112" s="5" t="n">
        <v>2020</v>
      </c>
      <c r="B1112" s="6" t="s">
        <v>3012</v>
      </c>
      <c r="C1112" s="6" t="s">
        <v>12</v>
      </c>
      <c r="D1112" s="6" t="s">
        <v>3013</v>
      </c>
      <c r="E1112" s="6" t="s">
        <v>14</v>
      </c>
      <c r="F1112" s="6" t="n">
        <v>2250.050987365</v>
      </c>
      <c r="G1112" s="6" t="n">
        <v>2250.051</v>
      </c>
      <c r="H1112" s="6" t="s">
        <v>792</v>
      </c>
      <c r="I1112" s="0" t="n">
        <v>0.4</v>
      </c>
      <c r="J1112" s="0" t="n">
        <f aca="false">CONVERT(G1112,"m^2","ha")</f>
        <v>0.2250051</v>
      </c>
      <c r="K1112" s="0" t="b">
        <f aca="false">IF(J1112&gt;(I1112*2),((ROUNDDOWN(J1112/I1112,0))-1))</f>
        <v>0</v>
      </c>
    </row>
    <row r="1113" customFormat="false" ht="12.75" hidden="false" customHeight="false" outlineLevel="0" collapsed="false">
      <c r="A1113" s="5" t="n">
        <v>2021</v>
      </c>
      <c r="B1113" s="6" t="s">
        <v>3014</v>
      </c>
      <c r="C1113" s="6" t="s">
        <v>12</v>
      </c>
      <c r="D1113" s="6" t="s">
        <v>3015</v>
      </c>
      <c r="E1113" s="6" t="s">
        <v>14</v>
      </c>
      <c r="F1113" s="6" t="n">
        <v>1581.466781115</v>
      </c>
      <c r="G1113" s="6" t="n">
        <v>1581.467</v>
      </c>
      <c r="H1113" s="6" t="s">
        <v>792</v>
      </c>
      <c r="I1113" s="0" t="n">
        <v>0.4</v>
      </c>
      <c r="J1113" s="0" t="n">
        <f aca="false">CONVERT(G1113,"m^2","ha")</f>
        <v>0.1581467</v>
      </c>
      <c r="K1113" s="0" t="b">
        <f aca="false">IF(J1113&gt;(I1113*2),((ROUNDDOWN(J1113/I1113,0))-1))</f>
        <v>0</v>
      </c>
    </row>
    <row r="1114" customFormat="false" ht="12.75" hidden="false" customHeight="false" outlineLevel="0" collapsed="false">
      <c r="A1114" s="5" t="n">
        <v>2022</v>
      </c>
      <c r="B1114" s="6" t="s">
        <v>3016</v>
      </c>
      <c r="C1114" s="6" t="s">
        <v>12</v>
      </c>
      <c r="D1114" s="6" t="s">
        <v>3017</v>
      </c>
      <c r="E1114" s="6" t="s">
        <v>14</v>
      </c>
      <c r="F1114" s="6" t="n">
        <v>1829.03946667</v>
      </c>
      <c r="G1114" s="6" t="n">
        <v>1829.039</v>
      </c>
      <c r="H1114" s="6" t="s">
        <v>792</v>
      </c>
      <c r="I1114" s="0" t="n">
        <v>0.4</v>
      </c>
      <c r="J1114" s="0" t="n">
        <f aca="false">CONVERT(G1114,"m^2","ha")</f>
        <v>0.1829039</v>
      </c>
      <c r="K1114" s="0" t="b">
        <f aca="false">IF(J1114&gt;(I1114*2),((ROUNDDOWN(J1114/I1114,0))-1))</f>
        <v>0</v>
      </c>
    </row>
    <row r="1115" customFormat="false" ht="12.75" hidden="false" customHeight="false" outlineLevel="0" collapsed="false">
      <c r="A1115" s="5" t="n">
        <v>2023</v>
      </c>
      <c r="B1115" s="6" t="s">
        <v>3018</v>
      </c>
      <c r="C1115" s="6" t="s">
        <v>12</v>
      </c>
      <c r="D1115" s="6" t="s">
        <v>3019</v>
      </c>
      <c r="E1115" s="6" t="s">
        <v>14</v>
      </c>
      <c r="F1115" s="6" t="n">
        <v>2070.51517011</v>
      </c>
      <c r="G1115" s="6" t="n">
        <v>2070.515</v>
      </c>
      <c r="H1115" s="6" t="s">
        <v>792</v>
      </c>
      <c r="I1115" s="0" t="n">
        <v>0.4</v>
      </c>
      <c r="J1115" s="0" t="n">
        <f aca="false">CONVERT(G1115,"m^2","ha")</f>
        <v>0.2070515</v>
      </c>
      <c r="K1115" s="0" t="b">
        <f aca="false">IF(J1115&gt;(I1115*2),((ROUNDDOWN(J1115/I1115,0))-1))</f>
        <v>0</v>
      </c>
    </row>
    <row r="1116" customFormat="false" ht="12.75" hidden="false" customHeight="false" outlineLevel="0" collapsed="false">
      <c r="A1116" s="5" t="n">
        <v>2024</v>
      </c>
      <c r="B1116" s="6" t="s">
        <v>3020</v>
      </c>
      <c r="C1116" s="6" t="s">
        <v>12</v>
      </c>
      <c r="D1116" s="6" t="s">
        <v>3021</v>
      </c>
      <c r="E1116" s="6" t="s">
        <v>14</v>
      </c>
      <c r="F1116" s="6" t="n">
        <v>1138.32624602</v>
      </c>
      <c r="G1116" s="6" t="n">
        <v>1138.326</v>
      </c>
      <c r="H1116" s="6" t="s">
        <v>792</v>
      </c>
      <c r="I1116" s="0" t="n">
        <v>0.4</v>
      </c>
      <c r="J1116" s="0" t="n">
        <f aca="false">CONVERT(G1116,"m^2","ha")</f>
        <v>0.1138326</v>
      </c>
      <c r="K1116" s="0" t="b">
        <f aca="false">IF(J1116&gt;(I1116*2),((ROUNDDOWN(J1116/I1116,0))-1))</f>
        <v>0</v>
      </c>
    </row>
    <row r="1117" customFormat="false" ht="12.75" hidden="false" customHeight="false" outlineLevel="0" collapsed="false">
      <c r="A1117" s="5" t="n">
        <v>2025</v>
      </c>
      <c r="B1117" s="6" t="s">
        <v>3022</v>
      </c>
      <c r="C1117" s="6" t="s">
        <v>12</v>
      </c>
      <c r="D1117" s="6" t="s">
        <v>3023</v>
      </c>
      <c r="E1117" s="6" t="s">
        <v>14</v>
      </c>
      <c r="F1117" s="6" t="n">
        <v>9188.004943675</v>
      </c>
      <c r="G1117" s="6" t="n">
        <v>9188.005</v>
      </c>
      <c r="H1117" s="6" t="s">
        <v>792</v>
      </c>
      <c r="I1117" s="0" t="n">
        <v>0.4</v>
      </c>
      <c r="J1117" s="0" t="n">
        <f aca="false">CONVERT(G1117,"m^2","ha")</f>
        <v>0.9188005</v>
      </c>
      <c r="K1117" s="0" t="n">
        <f aca="false">IF(J1117&gt;(I1117*2),((ROUNDDOWN(J1117/I1117,0))-1))</f>
        <v>1</v>
      </c>
    </row>
    <row r="1118" customFormat="false" ht="12.75" hidden="false" customHeight="false" outlineLevel="0" collapsed="false">
      <c r="A1118" s="5" t="n">
        <v>2026</v>
      </c>
      <c r="B1118" s="6" t="s">
        <v>3024</v>
      </c>
      <c r="C1118" s="6" t="s">
        <v>12</v>
      </c>
      <c r="D1118" s="6" t="s">
        <v>3025</v>
      </c>
      <c r="E1118" s="6" t="s">
        <v>14</v>
      </c>
      <c r="F1118" s="6" t="n">
        <v>1837.47235108</v>
      </c>
      <c r="G1118" s="6" t="n">
        <v>1837.472</v>
      </c>
      <c r="H1118" s="6" t="s">
        <v>792</v>
      </c>
      <c r="I1118" s="0" t="n">
        <v>0.4</v>
      </c>
      <c r="J1118" s="0" t="n">
        <f aca="false">CONVERT(G1118,"m^2","ha")</f>
        <v>0.1837472</v>
      </c>
      <c r="K1118" s="0" t="b">
        <f aca="false">IF(J1118&gt;(I1118*2),((ROUNDDOWN(J1118/I1118,0))-1))</f>
        <v>0</v>
      </c>
    </row>
    <row r="1119" customFormat="false" ht="12.75" hidden="false" customHeight="false" outlineLevel="0" collapsed="false">
      <c r="A1119" s="5" t="n">
        <v>2027</v>
      </c>
      <c r="B1119" s="6" t="s">
        <v>3026</v>
      </c>
      <c r="C1119" s="6" t="s">
        <v>12</v>
      </c>
      <c r="D1119" s="6" t="s">
        <v>3027</v>
      </c>
      <c r="E1119" s="6" t="s">
        <v>14</v>
      </c>
      <c r="F1119" s="6" t="n">
        <v>8753.80223268</v>
      </c>
      <c r="G1119" s="6" t="n">
        <v>8753.802</v>
      </c>
      <c r="H1119" s="6" t="s">
        <v>792</v>
      </c>
      <c r="I1119" s="0" t="n">
        <v>0.4</v>
      </c>
      <c r="J1119" s="0" t="n">
        <f aca="false">CONVERT(G1119,"m^2","ha")</f>
        <v>0.8753802</v>
      </c>
      <c r="K1119" s="0" t="n">
        <f aca="false">IF(J1119&gt;(I1119*2),((ROUNDDOWN(J1119/I1119,0))-1))</f>
        <v>1</v>
      </c>
    </row>
    <row r="1120" customFormat="false" ht="12.75" hidden="false" customHeight="false" outlineLevel="0" collapsed="false">
      <c r="A1120" s="5" t="n">
        <v>2028</v>
      </c>
      <c r="B1120" s="6" t="s">
        <v>3028</v>
      </c>
      <c r="C1120" s="6" t="s">
        <v>12</v>
      </c>
      <c r="D1120" s="6" t="s">
        <v>3029</v>
      </c>
      <c r="E1120" s="6" t="s">
        <v>14</v>
      </c>
      <c r="F1120" s="6" t="n">
        <v>1453.54335698</v>
      </c>
      <c r="G1120" s="6" t="n">
        <v>1453.543</v>
      </c>
      <c r="H1120" s="6" t="s">
        <v>792</v>
      </c>
      <c r="I1120" s="0" t="n">
        <v>0.4</v>
      </c>
      <c r="J1120" s="0" t="n">
        <f aca="false">CONVERT(G1120,"m^2","ha")</f>
        <v>0.1453543</v>
      </c>
      <c r="K1120" s="0" t="b">
        <f aca="false">IF(J1120&gt;(I1120*2),((ROUNDDOWN(J1120/I1120,0))-1))</f>
        <v>0</v>
      </c>
    </row>
    <row r="1121" customFormat="false" ht="12.75" hidden="false" customHeight="false" outlineLevel="0" collapsed="false">
      <c r="A1121" s="5" t="n">
        <v>2029</v>
      </c>
      <c r="B1121" s="6" t="s">
        <v>3030</v>
      </c>
      <c r="C1121" s="6" t="s">
        <v>12</v>
      </c>
      <c r="D1121" s="6" t="s">
        <v>3031</v>
      </c>
      <c r="E1121" s="6" t="s">
        <v>14</v>
      </c>
      <c r="F1121" s="6" t="n">
        <v>18137.329445145</v>
      </c>
      <c r="G1121" s="6" t="n">
        <v>18137.541</v>
      </c>
      <c r="H1121" s="6" t="s">
        <v>792</v>
      </c>
      <c r="I1121" s="0" t="n">
        <v>0.4</v>
      </c>
      <c r="J1121" s="0" t="n">
        <f aca="false">CONVERT(G1121,"m^2","ha")</f>
        <v>1.8137541</v>
      </c>
      <c r="K1121" s="0" t="n">
        <f aca="false">IF(J1121&gt;(I1121*2),((ROUNDDOWN(J1121/I1121,0))-1))</f>
        <v>3</v>
      </c>
    </row>
    <row r="1122" customFormat="false" ht="12.75" hidden="false" customHeight="false" outlineLevel="0" collapsed="false">
      <c r="A1122" s="5" t="n">
        <v>2030</v>
      </c>
      <c r="B1122" s="6" t="s">
        <v>3032</v>
      </c>
      <c r="C1122" s="6" t="s">
        <v>12</v>
      </c>
      <c r="D1122" s="6" t="s">
        <v>3033</v>
      </c>
      <c r="E1122" s="6" t="s">
        <v>14</v>
      </c>
      <c r="F1122" s="6" t="n">
        <v>2077.814757775</v>
      </c>
      <c r="G1122" s="6" t="n">
        <v>2077.815</v>
      </c>
      <c r="H1122" s="6" t="s">
        <v>792</v>
      </c>
      <c r="I1122" s="0" t="n">
        <v>0.4</v>
      </c>
      <c r="J1122" s="0" t="n">
        <f aca="false">CONVERT(G1122,"m^2","ha")</f>
        <v>0.2077815</v>
      </c>
      <c r="K1122" s="0" t="b">
        <f aca="false">IF(J1122&gt;(I1122*2),((ROUNDDOWN(J1122/I1122,0))-1))</f>
        <v>0</v>
      </c>
    </row>
    <row r="1123" customFormat="false" ht="12.75" hidden="false" customHeight="false" outlineLevel="0" collapsed="false">
      <c r="A1123" s="5" t="n">
        <v>2031</v>
      </c>
      <c r="B1123" s="6" t="s">
        <v>3034</v>
      </c>
      <c r="C1123" s="6" t="s">
        <v>12</v>
      </c>
      <c r="D1123" s="6" t="s">
        <v>3035</v>
      </c>
      <c r="E1123" s="6" t="s">
        <v>14</v>
      </c>
      <c r="F1123" s="6" t="n">
        <v>941.951926495</v>
      </c>
      <c r="G1123" s="6" t="n">
        <v>941.952</v>
      </c>
      <c r="H1123" s="6" t="s">
        <v>792</v>
      </c>
      <c r="I1123" s="0" t="n">
        <v>0.4</v>
      </c>
      <c r="J1123" s="0" t="n">
        <f aca="false">CONVERT(G1123,"m^2","ha")</f>
        <v>0.0941952</v>
      </c>
      <c r="K1123" s="0" t="b">
        <f aca="false">IF(J1123&gt;(I1123*2),((ROUNDDOWN(J1123/I1123,0))-1))</f>
        <v>0</v>
      </c>
    </row>
    <row r="1124" customFormat="false" ht="12.75" hidden="false" customHeight="false" outlineLevel="0" collapsed="false">
      <c r="A1124" s="5" t="n">
        <v>2032</v>
      </c>
      <c r="B1124" s="6" t="s">
        <v>3036</v>
      </c>
      <c r="C1124" s="6" t="s">
        <v>12</v>
      </c>
      <c r="D1124" s="6" t="s">
        <v>3037</v>
      </c>
      <c r="E1124" s="6" t="s">
        <v>14</v>
      </c>
      <c r="F1124" s="6" t="n">
        <v>839.502984425</v>
      </c>
      <c r="G1124" s="6" t="n">
        <v>839.503</v>
      </c>
      <c r="H1124" s="6" t="s">
        <v>792</v>
      </c>
      <c r="I1124" s="0" t="n">
        <v>0.4</v>
      </c>
      <c r="J1124" s="0" t="n">
        <f aca="false">CONVERT(G1124,"m^2","ha")</f>
        <v>0.0839503</v>
      </c>
      <c r="K1124" s="0" t="b">
        <f aca="false">IF(J1124&gt;(I1124*2),((ROUNDDOWN(J1124/I1124,0))-1))</f>
        <v>0</v>
      </c>
    </row>
    <row r="1125" customFormat="false" ht="12.75" hidden="false" customHeight="false" outlineLevel="0" collapsed="false">
      <c r="A1125" s="5" t="n">
        <v>2033</v>
      </c>
      <c r="B1125" s="6" t="s">
        <v>3038</v>
      </c>
      <c r="C1125" s="6" t="s">
        <v>12</v>
      </c>
      <c r="D1125" s="6" t="s">
        <v>3039</v>
      </c>
      <c r="E1125" s="6" t="s">
        <v>14</v>
      </c>
      <c r="F1125" s="6" t="n">
        <v>2301.315838575</v>
      </c>
      <c r="G1125" s="6" t="n">
        <v>2301.316</v>
      </c>
      <c r="H1125" s="6" t="s">
        <v>792</v>
      </c>
      <c r="I1125" s="0" t="n">
        <v>0.4</v>
      </c>
      <c r="J1125" s="0" t="n">
        <f aca="false">CONVERT(G1125,"m^2","ha")</f>
        <v>0.2301316</v>
      </c>
      <c r="K1125" s="0" t="b">
        <f aca="false">IF(J1125&gt;(I1125*2),((ROUNDDOWN(J1125/I1125,0))-1))</f>
        <v>0</v>
      </c>
    </row>
    <row r="1126" customFormat="false" ht="12.75" hidden="false" customHeight="false" outlineLevel="0" collapsed="false">
      <c r="A1126" s="5" t="n">
        <v>2034</v>
      </c>
      <c r="B1126" s="6" t="s">
        <v>3040</v>
      </c>
      <c r="C1126" s="6" t="s">
        <v>12</v>
      </c>
      <c r="D1126" s="6" t="s">
        <v>3041</v>
      </c>
      <c r="E1126" s="6" t="s">
        <v>14</v>
      </c>
      <c r="F1126" s="6" t="n">
        <v>927.675919715</v>
      </c>
      <c r="G1126" s="6" t="n">
        <v>927.676</v>
      </c>
      <c r="H1126" s="6" t="s">
        <v>792</v>
      </c>
      <c r="I1126" s="0" t="n">
        <v>0.4</v>
      </c>
      <c r="J1126" s="0" t="n">
        <f aca="false">CONVERT(G1126,"m^2","ha")</f>
        <v>0.0927676</v>
      </c>
      <c r="K1126" s="0" t="b">
        <f aca="false">IF(J1126&gt;(I1126*2),((ROUNDDOWN(J1126/I1126,0))-1))</f>
        <v>0</v>
      </c>
    </row>
    <row r="1127" customFormat="false" ht="12.75" hidden="false" customHeight="false" outlineLevel="0" collapsed="false">
      <c r="A1127" s="5" t="n">
        <v>2035</v>
      </c>
      <c r="B1127" s="6" t="s">
        <v>3042</v>
      </c>
      <c r="C1127" s="6" t="s">
        <v>12</v>
      </c>
      <c r="D1127" s="6" t="s">
        <v>3043</v>
      </c>
      <c r="E1127" s="6" t="s">
        <v>14</v>
      </c>
      <c r="F1127" s="6" t="n">
        <v>2026.987352935</v>
      </c>
      <c r="G1127" s="6" t="n">
        <v>2026.987</v>
      </c>
      <c r="H1127" s="6" t="s">
        <v>792</v>
      </c>
      <c r="I1127" s="0" t="n">
        <v>0.4</v>
      </c>
      <c r="J1127" s="0" t="n">
        <f aca="false">CONVERT(G1127,"m^2","ha")</f>
        <v>0.2026987</v>
      </c>
      <c r="K1127" s="0" t="b">
        <f aca="false">IF(J1127&gt;(I1127*2),((ROUNDDOWN(J1127/I1127,0))-1))</f>
        <v>0</v>
      </c>
    </row>
    <row r="1128" customFormat="false" ht="12.75" hidden="false" customHeight="false" outlineLevel="0" collapsed="false">
      <c r="A1128" s="5" t="n">
        <v>2036</v>
      </c>
      <c r="B1128" s="6" t="s">
        <v>3044</v>
      </c>
      <c r="C1128" s="6" t="s">
        <v>12</v>
      </c>
      <c r="D1128" s="6" t="s">
        <v>3045</v>
      </c>
      <c r="E1128" s="6" t="s">
        <v>14</v>
      </c>
      <c r="F1128" s="6" t="n">
        <v>1548.90411194</v>
      </c>
      <c r="G1128" s="6" t="n">
        <v>1548.904</v>
      </c>
      <c r="H1128" s="6" t="s">
        <v>792</v>
      </c>
      <c r="I1128" s="0" t="n">
        <v>0.4</v>
      </c>
      <c r="J1128" s="0" t="n">
        <f aca="false">CONVERT(G1128,"m^2","ha")</f>
        <v>0.1548904</v>
      </c>
      <c r="K1128" s="0" t="b">
        <f aca="false">IF(J1128&gt;(I1128*2),((ROUNDDOWN(J1128/I1128,0))-1))</f>
        <v>0</v>
      </c>
    </row>
    <row r="1129" customFormat="false" ht="12.75" hidden="false" customHeight="false" outlineLevel="0" collapsed="false">
      <c r="A1129" s="5" t="n">
        <v>2037</v>
      </c>
      <c r="B1129" s="6" t="s">
        <v>3046</v>
      </c>
      <c r="C1129" s="6" t="s">
        <v>12</v>
      </c>
      <c r="D1129" s="6" t="s">
        <v>3047</v>
      </c>
      <c r="E1129" s="6" t="s">
        <v>14</v>
      </c>
      <c r="F1129" s="6" t="n">
        <v>2634.230337965</v>
      </c>
      <c r="G1129" s="6" t="n">
        <v>2634.23</v>
      </c>
      <c r="H1129" s="6" t="s">
        <v>792</v>
      </c>
      <c r="I1129" s="0" t="n">
        <v>0.4</v>
      </c>
      <c r="J1129" s="0" t="n">
        <f aca="false">CONVERT(G1129,"m^2","ha")</f>
        <v>0.263423</v>
      </c>
      <c r="K1129" s="0" t="b">
        <f aca="false">IF(J1129&gt;(I1129*2),((ROUNDDOWN(J1129/I1129,0))-1))</f>
        <v>0</v>
      </c>
    </row>
    <row r="1130" customFormat="false" ht="12.75" hidden="false" customHeight="false" outlineLevel="0" collapsed="false">
      <c r="A1130" s="5" t="n">
        <v>2038</v>
      </c>
      <c r="B1130" s="6" t="s">
        <v>3048</v>
      </c>
      <c r="C1130" s="6" t="s">
        <v>12</v>
      </c>
      <c r="D1130" s="6" t="s">
        <v>3049</v>
      </c>
      <c r="E1130" s="6" t="s">
        <v>14</v>
      </c>
      <c r="F1130" s="6" t="n">
        <v>4312.61829394</v>
      </c>
      <c r="G1130" s="6" t="n">
        <v>4311.619</v>
      </c>
      <c r="H1130" s="6" t="s">
        <v>792</v>
      </c>
      <c r="I1130" s="0" t="n">
        <v>0.4</v>
      </c>
      <c r="J1130" s="0" t="n">
        <f aca="false">CONVERT(G1130,"m^2","ha")</f>
        <v>0.4311619</v>
      </c>
      <c r="K1130" s="0" t="b">
        <f aca="false">IF(J1130&gt;(I1130*2),((ROUNDDOWN(J1130/I1130,0))-1))</f>
        <v>0</v>
      </c>
    </row>
    <row r="1131" customFormat="false" ht="12.75" hidden="false" customHeight="false" outlineLevel="0" collapsed="false">
      <c r="A1131" s="5" t="n">
        <v>2039</v>
      </c>
      <c r="B1131" s="6" t="s">
        <v>3050</v>
      </c>
      <c r="C1131" s="6" t="s">
        <v>12</v>
      </c>
      <c r="D1131" s="6" t="s">
        <v>3051</v>
      </c>
      <c r="E1131" s="6" t="s">
        <v>14</v>
      </c>
      <c r="F1131" s="6" t="n">
        <v>2065.29283049</v>
      </c>
      <c r="G1131" s="6" t="n">
        <v>2065.293</v>
      </c>
      <c r="H1131" s="6" t="s">
        <v>792</v>
      </c>
      <c r="I1131" s="0" t="n">
        <v>0.4</v>
      </c>
      <c r="J1131" s="0" t="n">
        <f aca="false">CONVERT(G1131,"m^2","ha")</f>
        <v>0.2065293</v>
      </c>
      <c r="K1131" s="0" t="b">
        <f aca="false">IF(J1131&gt;(I1131*2),((ROUNDDOWN(J1131/I1131,0))-1))</f>
        <v>0</v>
      </c>
    </row>
    <row r="1132" customFormat="false" ht="12.75" hidden="false" customHeight="false" outlineLevel="0" collapsed="false">
      <c r="A1132" s="5" t="n">
        <v>2040</v>
      </c>
      <c r="B1132" s="6" t="s">
        <v>3052</v>
      </c>
      <c r="C1132" s="6" t="s">
        <v>12</v>
      </c>
      <c r="D1132" s="6" t="s">
        <v>3053</v>
      </c>
      <c r="E1132" s="6" t="s">
        <v>14</v>
      </c>
      <c r="F1132" s="6" t="n">
        <v>2050.533017385</v>
      </c>
      <c r="G1132" s="6" t="n">
        <v>2050.533</v>
      </c>
      <c r="H1132" s="6" t="s">
        <v>792</v>
      </c>
      <c r="I1132" s="0" t="n">
        <v>0.4</v>
      </c>
      <c r="J1132" s="0" t="n">
        <f aca="false">CONVERT(G1132,"m^2","ha")</f>
        <v>0.2050533</v>
      </c>
      <c r="K1132" s="0" t="b">
        <f aca="false">IF(J1132&gt;(I1132*2),((ROUNDDOWN(J1132/I1132,0))-1))</f>
        <v>0</v>
      </c>
    </row>
    <row r="1133" customFormat="false" ht="12.75" hidden="false" customHeight="false" outlineLevel="0" collapsed="false">
      <c r="A1133" s="5" t="n">
        <v>2041</v>
      </c>
      <c r="B1133" s="6" t="s">
        <v>3054</v>
      </c>
      <c r="C1133" s="6" t="s">
        <v>12</v>
      </c>
      <c r="D1133" s="6" t="s">
        <v>3055</v>
      </c>
      <c r="E1133" s="6" t="s">
        <v>14</v>
      </c>
      <c r="F1133" s="6" t="n">
        <v>1981.260856365</v>
      </c>
      <c r="G1133" s="6" t="n">
        <v>1981.261</v>
      </c>
      <c r="H1133" s="6" t="s">
        <v>792</v>
      </c>
      <c r="I1133" s="0" t="n">
        <v>0.4</v>
      </c>
      <c r="J1133" s="0" t="n">
        <f aca="false">CONVERT(G1133,"m^2","ha")</f>
        <v>0.1981261</v>
      </c>
      <c r="K1133" s="0" t="b">
        <f aca="false">IF(J1133&gt;(I1133*2),((ROUNDDOWN(J1133/I1133,0))-1))</f>
        <v>0</v>
      </c>
    </row>
    <row r="1134" customFormat="false" ht="12.75" hidden="false" customHeight="false" outlineLevel="0" collapsed="false">
      <c r="A1134" s="5" t="n">
        <v>2042</v>
      </c>
      <c r="B1134" s="6" t="s">
        <v>3056</v>
      </c>
      <c r="C1134" s="6" t="s">
        <v>12</v>
      </c>
      <c r="D1134" s="6" t="s">
        <v>3057</v>
      </c>
      <c r="E1134" s="6" t="s">
        <v>14</v>
      </c>
      <c r="F1134" s="6" t="n">
        <v>3011.21579637</v>
      </c>
      <c r="G1134" s="6" t="n">
        <v>3011.216</v>
      </c>
      <c r="H1134" s="6" t="s">
        <v>792</v>
      </c>
      <c r="I1134" s="0" t="n">
        <v>0.4</v>
      </c>
      <c r="J1134" s="0" t="n">
        <f aca="false">CONVERT(G1134,"m^2","ha")</f>
        <v>0.3011216</v>
      </c>
      <c r="K1134" s="0" t="b">
        <f aca="false">IF(J1134&gt;(I1134*2),((ROUNDDOWN(J1134/I1134,0))-1))</f>
        <v>0</v>
      </c>
    </row>
    <row r="1135" customFormat="false" ht="12.75" hidden="false" customHeight="false" outlineLevel="0" collapsed="false">
      <c r="A1135" s="5" t="n">
        <v>2043</v>
      </c>
      <c r="B1135" s="6" t="s">
        <v>3058</v>
      </c>
      <c r="C1135" s="6" t="s">
        <v>12</v>
      </c>
      <c r="D1135" s="6" t="s">
        <v>3059</v>
      </c>
      <c r="E1135" s="6" t="s">
        <v>14</v>
      </c>
      <c r="F1135" s="6" t="n">
        <v>4813.7658946</v>
      </c>
      <c r="G1135" s="6" t="n">
        <v>4813.766</v>
      </c>
      <c r="H1135" s="6" t="s">
        <v>792</v>
      </c>
      <c r="I1135" s="0" t="n">
        <v>0.4</v>
      </c>
      <c r="J1135" s="0" t="n">
        <f aca="false">CONVERT(G1135,"m^2","ha")</f>
        <v>0.4813766</v>
      </c>
      <c r="K1135" s="0" t="b">
        <f aca="false">IF(J1135&gt;(I1135*2),((ROUNDDOWN(J1135/I1135,0))-1))</f>
        <v>0</v>
      </c>
    </row>
    <row r="1136" customFormat="false" ht="12.75" hidden="false" customHeight="false" outlineLevel="0" collapsed="false">
      <c r="A1136" s="5" t="n">
        <v>2044</v>
      </c>
      <c r="B1136" s="6" t="s">
        <v>3060</v>
      </c>
      <c r="C1136" s="6" t="s">
        <v>12</v>
      </c>
      <c r="D1136" s="6" t="s">
        <v>3061</v>
      </c>
      <c r="E1136" s="6" t="s">
        <v>14</v>
      </c>
      <c r="F1136" s="6" t="n">
        <v>1578.50437411</v>
      </c>
      <c r="G1136" s="6" t="n">
        <v>1578.504</v>
      </c>
      <c r="H1136" s="6" t="s">
        <v>792</v>
      </c>
      <c r="I1136" s="0" t="n">
        <v>0.4</v>
      </c>
      <c r="J1136" s="0" t="n">
        <f aca="false">CONVERT(G1136,"m^2","ha")</f>
        <v>0.1578504</v>
      </c>
      <c r="K1136" s="0" t="b">
        <f aca="false">IF(J1136&gt;(I1136*2),((ROUNDDOWN(J1136/I1136,0))-1))</f>
        <v>0</v>
      </c>
    </row>
    <row r="1137" customFormat="false" ht="12.75" hidden="false" customHeight="false" outlineLevel="0" collapsed="false">
      <c r="A1137" s="5" t="n">
        <v>2045</v>
      </c>
      <c r="B1137" s="6" t="s">
        <v>3062</v>
      </c>
      <c r="C1137" s="6" t="s">
        <v>12</v>
      </c>
      <c r="D1137" s="6" t="s">
        <v>3063</v>
      </c>
      <c r="E1137" s="6" t="s">
        <v>14</v>
      </c>
      <c r="F1137" s="6" t="n">
        <v>2512.064568725</v>
      </c>
      <c r="G1137" s="6" t="n">
        <v>2512.065</v>
      </c>
      <c r="H1137" s="6" t="s">
        <v>792</v>
      </c>
      <c r="I1137" s="0" t="n">
        <v>0.4</v>
      </c>
      <c r="J1137" s="0" t="n">
        <f aca="false">CONVERT(G1137,"m^2","ha")</f>
        <v>0.2512065</v>
      </c>
      <c r="K1137" s="0" t="b">
        <f aca="false">IF(J1137&gt;(I1137*2),((ROUNDDOWN(J1137/I1137,0))-1))</f>
        <v>0</v>
      </c>
    </row>
    <row r="1138" customFormat="false" ht="12.75" hidden="false" customHeight="false" outlineLevel="0" collapsed="false">
      <c r="A1138" s="5" t="n">
        <v>2047</v>
      </c>
      <c r="B1138" s="6" t="s">
        <v>3064</v>
      </c>
      <c r="C1138" s="6" t="s">
        <v>12</v>
      </c>
      <c r="D1138" s="6" t="s">
        <v>3065</v>
      </c>
      <c r="E1138" s="6" t="s">
        <v>14</v>
      </c>
      <c r="F1138" s="6" t="n">
        <v>2078.44749634</v>
      </c>
      <c r="G1138" s="6" t="n">
        <v>2078.447</v>
      </c>
      <c r="H1138" s="6" t="s">
        <v>792</v>
      </c>
      <c r="I1138" s="0" t="n">
        <v>0.4</v>
      </c>
      <c r="J1138" s="0" t="n">
        <f aca="false">CONVERT(G1138,"m^2","ha")</f>
        <v>0.2078447</v>
      </c>
      <c r="K1138" s="0" t="b">
        <f aca="false">IF(J1138&gt;(I1138*2),((ROUNDDOWN(J1138/I1138,0))-1))</f>
        <v>0</v>
      </c>
    </row>
    <row r="1139" customFormat="false" ht="12.75" hidden="false" customHeight="false" outlineLevel="0" collapsed="false">
      <c r="A1139" s="5" t="n">
        <v>2048</v>
      </c>
      <c r="B1139" s="6" t="s">
        <v>3066</v>
      </c>
      <c r="C1139" s="6" t="s">
        <v>12</v>
      </c>
      <c r="D1139" s="6" t="s">
        <v>3067</v>
      </c>
      <c r="E1139" s="6" t="s">
        <v>14</v>
      </c>
      <c r="F1139" s="6" t="n">
        <v>480.12965759</v>
      </c>
      <c r="G1139" s="6" t="n">
        <v>480.13</v>
      </c>
      <c r="H1139" s="6" t="s">
        <v>792</v>
      </c>
      <c r="I1139" s="0" t="n">
        <v>0.4</v>
      </c>
      <c r="J1139" s="0" t="n">
        <f aca="false">CONVERT(G1139,"m^2","ha")</f>
        <v>0.048013</v>
      </c>
      <c r="K1139" s="0" t="b">
        <f aca="false">IF(J1139&gt;(I1139*2),((ROUNDDOWN(J1139/I1139,0))-1))</f>
        <v>0</v>
      </c>
    </row>
    <row r="1140" customFormat="false" ht="12.75" hidden="false" customHeight="false" outlineLevel="0" collapsed="false">
      <c r="A1140" s="5" t="n">
        <v>2049</v>
      </c>
      <c r="B1140" s="6" t="s">
        <v>3068</v>
      </c>
      <c r="C1140" s="6" t="s">
        <v>12</v>
      </c>
      <c r="D1140" s="6" t="s">
        <v>3069</v>
      </c>
      <c r="E1140" s="6" t="s">
        <v>14</v>
      </c>
      <c r="F1140" s="6" t="n">
        <v>2383.63140991</v>
      </c>
      <c r="G1140" s="6" t="n">
        <v>2383.631</v>
      </c>
      <c r="H1140" s="6" t="s">
        <v>792</v>
      </c>
      <c r="I1140" s="0" t="n">
        <v>0.4</v>
      </c>
      <c r="J1140" s="0" t="n">
        <f aca="false">CONVERT(G1140,"m^2","ha")</f>
        <v>0.2383631</v>
      </c>
      <c r="K1140" s="0" t="b">
        <f aca="false">IF(J1140&gt;(I1140*2),((ROUNDDOWN(J1140/I1140,0))-1))</f>
        <v>0</v>
      </c>
    </row>
    <row r="1141" customFormat="false" ht="12.75" hidden="false" customHeight="false" outlineLevel="0" collapsed="false">
      <c r="A1141" s="5" t="n">
        <v>2050</v>
      </c>
      <c r="B1141" s="6" t="s">
        <v>3070</v>
      </c>
      <c r="C1141" s="6" t="s">
        <v>12</v>
      </c>
      <c r="D1141" s="6" t="s">
        <v>3071</v>
      </c>
      <c r="E1141" s="6" t="s">
        <v>14</v>
      </c>
      <c r="F1141" s="6" t="n">
        <v>898.335709035</v>
      </c>
      <c r="G1141" s="6" t="n">
        <v>898.336</v>
      </c>
      <c r="H1141" s="6" t="s">
        <v>792</v>
      </c>
      <c r="I1141" s="0" t="n">
        <v>0.4</v>
      </c>
      <c r="J1141" s="0" t="n">
        <f aca="false">CONVERT(G1141,"m^2","ha")</f>
        <v>0.0898336</v>
      </c>
      <c r="K1141" s="0" t="b">
        <f aca="false">IF(J1141&gt;(I1141*2),((ROUNDDOWN(J1141/I1141,0))-1))</f>
        <v>0</v>
      </c>
    </row>
    <row r="1142" customFormat="false" ht="12.75" hidden="false" customHeight="false" outlineLevel="0" collapsed="false">
      <c r="A1142" s="5" t="n">
        <v>2051</v>
      </c>
      <c r="B1142" s="6" t="s">
        <v>3072</v>
      </c>
      <c r="C1142" s="6" t="s">
        <v>12</v>
      </c>
      <c r="D1142" s="6" t="s">
        <v>3073</v>
      </c>
      <c r="E1142" s="6" t="s">
        <v>14</v>
      </c>
      <c r="F1142" s="6" t="n">
        <v>1551.7417572</v>
      </c>
      <c r="G1142" s="6" t="n">
        <v>1551.742</v>
      </c>
      <c r="H1142" s="6" t="s">
        <v>792</v>
      </c>
      <c r="I1142" s="0" t="n">
        <v>0.4</v>
      </c>
      <c r="J1142" s="0" t="n">
        <f aca="false">CONVERT(G1142,"m^2","ha")</f>
        <v>0.1551742</v>
      </c>
      <c r="K1142" s="0" t="b">
        <f aca="false">IF(J1142&gt;(I1142*2),((ROUNDDOWN(J1142/I1142,0))-1))</f>
        <v>0</v>
      </c>
    </row>
    <row r="1143" customFormat="false" ht="12.75" hidden="false" customHeight="false" outlineLevel="0" collapsed="false">
      <c r="A1143" s="5" t="n">
        <v>2052</v>
      </c>
      <c r="B1143" s="6" t="s">
        <v>3074</v>
      </c>
      <c r="C1143" s="6" t="s">
        <v>12</v>
      </c>
      <c r="D1143" s="6" t="s">
        <v>3075</v>
      </c>
      <c r="E1143" s="6" t="s">
        <v>14</v>
      </c>
      <c r="F1143" s="6" t="n">
        <v>861.36151781</v>
      </c>
      <c r="G1143" s="6" t="n">
        <v>861.362</v>
      </c>
      <c r="H1143" s="6" t="s">
        <v>792</v>
      </c>
      <c r="I1143" s="0" t="n">
        <v>0.4</v>
      </c>
      <c r="J1143" s="0" t="n">
        <f aca="false">CONVERT(G1143,"m^2","ha")</f>
        <v>0.0861362</v>
      </c>
      <c r="K1143" s="0" t="b">
        <f aca="false">IF(J1143&gt;(I1143*2),((ROUNDDOWN(J1143/I1143,0))-1))</f>
        <v>0</v>
      </c>
    </row>
    <row r="1144" customFormat="false" ht="12.75" hidden="false" customHeight="false" outlineLevel="0" collapsed="false">
      <c r="A1144" s="5" t="n">
        <v>2053</v>
      </c>
      <c r="B1144" s="6" t="s">
        <v>3076</v>
      </c>
      <c r="C1144" s="6" t="s">
        <v>12</v>
      </c>
      <c r="D1144" s="6" t="s">
        <v>3077</v>
      </c>
      <c r="E1144" s="6" t="s">
        <v>14</v>
      </c>
      <c r="F1144" s="6" t="n">
        <v>950.543353625</v>
      </c>
      <c r="G1144" s="6" t="n">
        <v>950.543</v>
      </c>
      <c r="H1144" s="6" t="s">
        <v>792</v>
      </c>
      <c r="I1144" s="0" t="n">
        <v>0.4</v>
      </c>
      <c r="J1144" s="0" t="n">
        <f aca="false">CONVERT(G1144,"m^2","ha")</f>
        <v>0.0950543</v>
      </c>
      <c r="K1144" s="0" t="b">
        <f aca="false">IF(J1144&gt;(I1144*2),((ROUNDDOWN(J1144/I1144,0))-1))</f>
        <v>0</v>
      </c>
    </row>
    <row r="1145" customFormat="false" ht="12.75" hidden="false" customHeight="false" outlineLevel="0" collapsed="false">
      <c r="A1145" s="5" t="n">
        <v>2054</v>
      </c>
      <c r="B1145" s="6" t="s">
        <v>3078</v>
      </c>
      <c r="C1145" s="6" t="s">
        <v>12</v>
      </c>
      <c r="D1145" s="6" t="s">
        <v>3079</v>
      </c>
      <c r="E1145" s="6" t="s">
        <v>14</v>
      </c>
      <c r="F1145" s="6" t="n">
        <v>1435.108048735</v>
      </c>
      <c r="G1145" s="6" t="n">
        <v>1435.108</v>
      </c>
      <c r="H1145" s="6" t="s">
        <v>792</v>
      </c>
      <c r="I1145" s="0" t="n">
        <v>0.4</v>
      </c>
      <c r="J1145" s="0" t="n">
        <f aca="false">CONVERT(G1145,"m^2","ha")</f>
        <v>0.1435108</v>
      </c>
      <c r="K1145" s="0" t="b">
        <f aca="false">IF(J1145&gt;(I1145*2),((ROUNDDOWN(J1145/I1145,0))-1))</f>
        <v>0</v>
      </c>
    </row>
    <row r="1146" customFormat="false" ht="12.75" hidden="false" customHeight="false" outlineLevel="0" collapsed="false">
      <c r="A1146" s="5" t="n">
        <v>2055</v>
      </c>
      <c r="B1146" s="6" t="s">
        <v>3080</v>
      </c>
      <c r="C1146" s="6" t="s">
        <v>12</v>
      </c>
      <c r="D1146" s="6" t="s">
        <v>3081</v>
      </c>
      <c r="E1146" s="6" t="s">
        <v>14</v>
      </c>
      <c r="F1146" s="6" t="n">
        <v>3987.435102075</v>
      </c>
      <c r="G1146" s="6" t="n">
        <v>3987.335</v>
      </c>
      <c r="H1146" s="6" t="s">
        <v>792</v>
      </c>
      <c r="I1146" s="0" t="n">
        <v>0.4</v>
      </c>
      <c r="J1146" s="0" t="n">
        <f aca="false">CONVERT(G1146,"m^2","ha")</f>
        <v>0.3987335</v>
      </c>
      <c r="K1146" s="0" t="b">
        <f aca="false">IF(J1146&gt;(I1146*2),((ROUNDDOWN(J1146/I1146,0))-1))</f>
        <v>0</v>
      </c>
    </row>
    <row r="1147" customFormat="false" ht="12.75" hidden="false" customHeight="false" outlineLevel="0" collapsed="false">
      <c r="A1147" s="5" t="n">
        <v>2056</v>
      </c>
      <c r="B1147" s="6" t="s">
        <v>3082</v>
      </c>
      <c r="C1147" s="6" t="s">
        <v>12</v>
      </c>
      <c r="D1147" s="6" t="s">
        <v>3083</v>
      </c>
      <c r="E1147" s="6" t="s">
        <v>14</v>
      </c>
      <c r="F1147" s="6" t="n">
        <v>989.47734566</v>
      </c>
      <c r="G1147" s="6" t="n">
        <v>989.477</v>
      </c>
      <c r="H1147" s="6" t="s">
        <v>792</v>
      </c>
      <c r="I1147" s="0" t="n">
        <v>0.4</v>
      </c>
      <c r="J1147" s="0" t="n">
        <f aca="false">CONVERT(G1147,"m^2","ha")</f>
        <v>0.0989477</v>
      </c>
      <c r="K1147" s="0" t="b">
        <f aca="false">IF(J1147&gt;(I1147*2),((ROUNDDOWN(J1147/I1147,0))-1))</f>
        <v>0</v>
      </c>
    </row>
    <row r="1148" customFormat="false" ht="12.75" hidden="false" customHeight="false" outlineLevel="0" collapsed="false">
      <c r="A1148" s="5" t="n">
        <v>2057</v>
      </c>
      <c r="B1148" s="6" t="s">
        <v>3084</v>
      </c>
      <c r="C1148" s="6" t="s">
        <v>12</v>
      </c>
      <c r="D1148" s="6" t="s">
        <v>3085</v>
      </c>
      <c r="E1148" s="6" t="s">
        <v>14</v>
      </c>
      <c r="F1148" s="6" t="n">
        <v>1120.415528545</v>
      </c>
      <c r="G1148" s="6" t="n">
        <v>1120.416</v>
      </c>
      <c r="H1148" s="6" t="s">
        <v>792</v>
      </c>
      <c r="I1148" s="0" t="n">
        <v>0.4</v>
      </c>
      <c r="J1148" s="0" t="n">
        <f aca="false">CONVERT(G1148,"m^2","ha")</f>
        <v>0.1120416</v>
      </c>
      <c r="K1148" s="0" t="b">
        <f aca="false">IF(J1148&gt;(I1148*2),((ROUNDDOWN(J1148/I1148,0))-1))</f>
        <v>0</v>
      </c>
    </row>
    <row r="1149" customFormat="false" ht="12.75" hidden="false" customHeight="false" outlineLevel="0" collapsed="false">
      <c r="A1149" s="5" t="n">
        <v>2058</v>
      </c>
      <c r="B1149" s="6" t="s">
        <v>3086</v>
      </c>
      <c r="C1149" s="6" t="s">
        <v>12</v>
      </c>
      <c r="D1149" s="6" t="s">
        <v>3087</v>
      </c>
      <c r="E1149" s="6" t="s">
        <v>14</v>
      </c>
      <c r="F1149" s="6" t="n">
        <v>2074.512133555</v>
      </c>
      <c r="G1149" s="6" t="n">
        <v>2074.512</v>
      </c>
      <c r="H1149" s="6" t="s">
        <v>792</v>
      </c>
      <c r="I1149" s="0" t="n">
        <v>0.4</v>
      </c>
      <c r="J1149" s="0" t="n">
        <f aca="false">CONVERT(G1149,"m^2","ha")</f>
        <v>0.2074512</v>
      </c>
      <c r="K1149" s="0" t="b">
        <f aca="false">IF(J1149&gt;(I1149*2),((ROUNDDOWN(J1149/I1149,0))-1))</f>
        <v>0</v>
      </c>
    </row>
    <row r="1150" customFormat="false" ht="12.75" hidden="false" customHeight="false" outlineLevel="0" collapsed="false">
      <c r="A1150" s="5" t="n">
        <v>2060</v>
      </c>
      <c r="B1150" s="6" t="s">
        <v>3088</v>
      </c>
      <c r="C1150" s="6" t="s">
        <v>12</v>
      </c>
      <c r="D1150" s="6" t="s">
        <v>3089</v>
      </c>
      <c r="E1150" s="6" t="s">
        <v>14</v>
      </c>
      <c r="F1150" s="6" t="n">
        <v>10793.21339013</v>
      </c>
      <c r="G1150" s="6" t="n">
        <v>10793.213</v>
      </c>
      <c r="H1150" s="6" t="s">
        <v>792</v>
      </c>
      <c r="I1150" s="0" t="n">
        <v>0.4</v>
      </c>
      <c r="J1150" s="0" t="n">
        <f aca="false">CONVERT(G1150,"m^2","ha")</f>
        <v>1.0793213</v>
      </c>
      <c r="K1150" s="0" t="n">
        <f aca="false">IF(J1150&gt;(I1150*2),((ROUNDDOWN(J1150/I1150,0))-1))</f>
        <v>1</v>
      </c>
    </row>
    <row r="1151" customFormat="false" ht="12.75" hidden="false" customHeight="false" outlineLevel="0" collapsed="false">
      <c r="A1151" s="5" t="n">
        <v>2061</v>
      </c>
      <c r="B1151" s="6" t="s">
        <v>3090</v>
      </c>
      <c r="C1151" s="6" t="s">
        <v>12</v>
      </c>
      <c r="D1151" s="6" t="s">
        <v>3091</v>
      </c>
      <c r="E1151" s="6" t="s">
        <v>14</v>
      </c>
      <c r="F1151" s="6" t="n">
        <v>1404.54906373</v>
      </c>
      <c r="G1151" s="6" t="n">
        <v>1404.549</v>
      </c>
      <c r="H1151" s="6" t="s">
        <v>792</v>
      </c>
      <c r="I1151" s="0" t="n">
        <v>0.4</v>
      </c>
      <c r="J1151" s="0" t="n">
        <f aca="false">CONVERT(G1151,"m^2","ha")</f>
        <v>0.1404549</v>
      </c>
      <c r="K1151" s="0" t="b">
        <f aca="false">IF(J1151&gt;(I1151*2),((ROUNDDOWN(J1151/I1151,0))-1))</f>
        <v>0</v>
      </c>
    </row>
    <row r="1152" customFormat="false" ht="12.75" hidden="false" customHeight="false" outlineLevel="0" collapsed="false">
      <c r="A1152" s="5" t="n">
        <v>2062</v>
      </c>
      <c r="B1152" s="6" t="s">
        <v>3092</v>
      </c>
      <c r="C1152" s="6" t="s">
        <v>12</v>
      </c>
      <c r="D1152" s="6" t="s">
        <v>3093</v>
      </c>
      <c r="E1152" s="6" t="s">
        <v>14</v>
      </c>
      <c r="F1152" s="6" t="n">
        <v>844.733675425</v>
      </c>
      <c r="G1152" s="6" t="n">
        <v>844.734</v>
      </c>
      <c r="H1152" s="6" t="s">
        <v>792</v>
      </c>
      <c r="I1152" s="0" t="n">
        <v>0.4</v>
      </c>
      <c r="J1152" s="0" t="n">
        <f aca="false">CONVERT(G1152,"m^2","ha")</f>
        <v>0.0844734</v>
      </c>
      <c r="K1152" s="0" t="b">
        <f aca="false">IF(J1152&gt;(I1152*2),((ROUNDDOWN(J1152/I1152,0))-1))</f>
        <v>0</v>
      </c>
    </row>
    <row r="1153" customFormat="false" ht="12.75" hidden="false" customHeight="false" outlineLevel="0" collapsed="false">
      <c r="A1153" s="5" t="n">
        <v>2063</v>
      </c>
      <c r="B1153" s="6" t="s">
        <v>3094</v>
      </c>
      <c r="C1153" s="6" t="s">
        <v>12</v>
      </c>
      <c r="D1153" s="6" t="s">
        <v>3095</v>
      </c>
      <c r="E1153" s="6" t="s">
        <v>14</v>
      </c>
      <c r="F1153" s="6" t="n">
        <v>2401.278538845</v>
      </c>
      <c r="G1153" s="6" t="n">
        <v>2401.279</v>
      </c>
      <c r="H1153" s="6" t="s">
        <v>792</v>
      </c>
      <c r="I1153" s="0" t="n">
        <v>0.4</v>
      </c>
      <c r="J1153" s="0" t="n">
        <f aca="false">CONVERT(G1153,"m^2","ha")</f>
        <v>0.2401279</v>
      </c>
      <c r="K1153" s="0" t="b">
        <f aca="false">IF(J1153&gt;(I1153*2),((ROUNDDOWN(J1153/I1153,0))-1))</f>
        <v>0</v>
      </c>
    </row>
    <row r="1154" customFormat="false" ht="12.75" hidden="false" customHeight="false" outlineLevel="0" collapsed="false">
      <c r="A1154" s="5" t="n">
        <v>2064</v>
      </c>
      <c r="B1154" s="6" t="s">
        <v>3096</v>
      </c>
      <c r="C1154" s="6" t="s">
        <v>12</v>
      </c>
      <c r="D1154" s="6" t="s">
        <v>3097</v>
      </c>
      <c r="E1154" s="6" t="s">
        <v>14</v>
      </c>
      <c r="F1154" s="6" t="n">
        <v>1754.73215938</v>
      </c>
      <c r="G1154" s="6" t="n">
        <v>1754.732</v>
      </c>
      <c r="H1154" s="6" t="s">
        <v>792</v>
      </c>
      <c r="I1154" s="0" t="n">
        <v>0.4</v>
      </c>
      <c r="J1154" s="0" t="n">
        <f aca="false">CONVERT(G1154,"m^2","ha")</f>
        <v>0.1754732</v>
      </c>
      <c r="K1154" s="0" t="b">
        <f aca="false">IF(J1154&gt;(I1154*2),((ROUNDDOWN(J1154/I1154,0))-1))</f>
        <v>0</v>
      </c>
    </row>
    <row r="1155" customFormat="false" ht="12.75" hidden="false" customHeight="false" outlineLevel="0" collapsed="false">
      <c r="A1155" s="5" t="n">
        <v>2065</v>
      </c>
      <c r="B1155" s="6" t="s">
        <v>3098</v>
      </c>
      <c r="C1155" s="6" t="s">
        <v>12</v>
      </c>
      <c r="D1155" s="6" t="s">
        <v>3099</v>
      </c>
      <c r="E1155" s="6" t="s">
        <v>14</v>
      </c>
      <c r="F1155" s="6" t="n">
        <v>4555.928027915</v>
      </c>
      <c r="G1155" s="6" t="n">
        <v>4555.292</v>
      </c>
      <c r="H1155" s="6" t="s">
        <v>792</v>
      </c>
      <c r="I1155" s="0" t="n">
        <v>0.4</v>
      </c>
      <c r="J1155" s="0" t="n">
        <f aca="false">CONVERT(G1155,"m^2","ha")</f>
        <v>0.4555292</v>
      </c>
      <c r="K1155" s="0" t="b">
        <f aca="false">IF(J1155&gt;(I1155*2),((ROUNDDOWN(J1155/I1155,0))-1))</f>
        <v>0</v>
      </c>
    </row>
    <row r="1156" customFormat="false" ht="12.75" hidden="false" customHeight="false" outlineLevel="0" collapsed="false">
      <c r="A1156" s="5" t="n">
        <v>2066</v>
      </c>
      <c r="B1156" s="6" t="s">
        <v>3100</v>
      </c>
      <c r="C1156" s="6" t="s">
        <v>12</v>
      </c>
      <c r="D1156" s="6" t="s">
        <v>3101</v>
      </c>
      <c r="E1156" s="6" t="s">
        <v>14</v>
      </c>
      <c r="F1156" s="6" t="n">
        <v>2214.31892997</v>
      </c>
      <c r="G1156" s="6" t="n">
        <v>2214.319</v>
      </c>
      <c r="H1156" s="6" t="s">
        <v>792</v>
      </c>
      <c r="I1156" s="0" t="n">
        <v>0.4</v>
      </c>
      <c r="J1156" s="0" t="n">
        <f aca="false">CONVERT(G1156,"m^2","ha")</f>
        <v>0.2214319</v>
      </c>
      <c r="K1156" s="0" t="b">
        <f aca="false">IF(J1156&gt;(I1156*2),((ROUNDDOWN(J1156/I1156,0))-1))</f>
        <v>0</v>
      </c>
    </row>
    <row r="1157" customFormat="false" ht="12.75" hidden="false" customHeight="false" outlineLevel="0" collapsed="false">
      <c r="A1157" s="5" t="n">
        <v>2068</v>
      </c>
      <c r="B1157" s="6" t="s">
        <v>3102</v>
      </c>
      <c r="C1157" s="6" t="s">
        <v>12</v>
      </c>
      <c r="D1157" s="6" t="s">
        <v>3103</v>
      </c>
      <c r="E1157" s="6" t="s">
        <v>14</v>
      </c>
      <c r="F1157" s="6" t="n">
        <v>4186.71472166</v>
      </c>
      <c r="G1157" s="6" t="n">
        <v>4186.041</v>
      </c>
      <c r="H1157" s="6" t="s">
        <v>792</v>
      </c>
      <c r="I1157" s="0" t="n">
        <v>0.4</v>
      </c>
      <c r="J1157" s="0" t="n">
        <f aca="false">CONVERT(G1157,"m^2","ha")</f>
        <v>0.4186041</v>
      </c>
      <c r="K1157" s="0" t="b">
        <f aca="false">IF(J1157&gt;(I1157*2),((ROUNDDOWN(J1157/I1157,0))-1))</f>
        <v>0</v>
      </c>
    </row>
    <row r="1158" customFormat="false" ht="12.75" hidden="false" customHeight="false" outlineLevel="0" collapsed="false">
      <c r="A1158" s="5" t="n">
        <v>2069</v>
      </c>
      <c r="B1158" s="6" t="s">
        <v>3104</v>
      </c>
      <c r="C1158" s="6" t="s">
        <v>12</v>
      </c>
      <c r="D1158" s="6" t="s">
        <v>3105</v>
      </c>
      <c r="E1158" s="6" t="s">
        <v>14</v>
      </c>
      <c r="F1158" s="6" t="n">
        <v>2837.230387645</v>
      </c>
      <c r="G1158" s="6" t="n">
        <v>2837.23</v>
      </c>
      <c r="H1158" s="6" t="s">
        <v>792</v>
      </c>
      <c r="I1158" s="0" t="n">
        <v>0.4</v>
      </c>
      <c r="J1158" s="0" t="n">
        <f aca="false">CONVERT(G1158,"m^2","ha")</f>
        <v>0.283723</v>
      </c>
      <c r="K1158" s="0" t="b">
        <f aca="false">IF(J1158&gt;(I1158*2),((ROUNDDOWN(J1158/I1158,0))-1))</f>
        <v>0</v>
      </c>
    </row>
    <row r="1159" customFormat="false" ht="12.75" hidden="false" customHeight="false" outlineLevel="0" collapsed="false">
      <c r="A1159" s="5" t="n">
        <v>2070</v>
      </c>
      <c r="B1159" s="6" t="s">
        <v>3106</v>
      </c>
      <c r="C1159" s="6" t="s">
        <v>12</v>
      </c>
      <c r="D1159" s="6" t="s">
        <v>3107</v>
      </c>
      <c r="E1159" s="6" t="s">
        <v>14</v>
      </c>
      <c r="F1159" s="6" t="n">
        <v>1452.16240288</v>
      </c>
      <c r="G1159" s="6" t="n">
        <v>1452.162</v>
      </c>
      <c r="H1159" s="6" t="s">
        <v>792</v>
      </c>
      <c r="I1159" s="0" t="n">
        <v>0.4</v>
      </c>
      <c r="J1159" s="0" t="n">
        <f aca="false">CONVERT(G1159,"m^2","ha")</f>
        <v>0.1452162</v>
      </c>
      <c r="K1159" s="0" t="b">
        <f aca="false">IF(J1159&gt;(I1159*2),((ROUNDDOWN(J1159/I1159,0))-1))</f>
        <v>0</v>
      </c>
    </row>
    <row r="1160" customFormat="false" ht="12.75" hidden="false" customHeight="false" outlineLevel="0" collapsed="false">
      <c r="A1160" s="5" t="n">
        <v>2071</v>
      </c>
      <c r="B1160" s="6" t="s">
        <v>3108</v>
      </c>
      <c r="C1160" s="6" t="s">
        <v>12</v>
      </c>
      <c r="D1160" s="6" t="s">
        <v>3109</v>
      </c>
      <c r="E1160" s="6" t="s">
        <v>14</v>
      </c>
      <c r="F1160" s="6" t="n">
        <v>907.234131755</v>
      </c>
      <c r="G1160" s="6" t="n">
        <v>907.234</v>
      </c>
      <c r="H1160" s="6" t="s">
        <v>792</v>
      </c>
      <c r="I1160" s="0" t="n">
        <v>0.4</v>
      </c>
      <c r="J1160" s="0" t="n">
        <f aca="false">CONVERT(G1160,"m^2","ha")</f>
        <v>0.0907234</v>
      </c>
      <c r="K1160" s="0" t="b">
        <f aca="false">IF(J1160&gt;(I1160*2),((ROUNDDOWN(J1160/I1160,0))-1))</f>
        <v>0</v>
      </c>
    </row>
    <row r="1161" customFormat="false" ht="12.75" hidden="false" customHeight="false" outlineLevel="0" collapsed="false">
      <c r="A1161" s="5" t="n">
        <v>2072</v>
      </c>
      <c r="B1161" s="6" t="s">
        <v>3110</v>
      </c>
      <c r="C1161" s="6" t="s">
        <v>12</v>
      </c>
      <c r="D1161" s="6" t="s">
        <v>3111</v>
      </c>
      <c r="E1161" s="6" t="s">
        <v>14</v>
      </c>
      <c r="F1161" s="6" t="n">
        <v>2048.514482895</v>
      </c>
      <c r="G1161" s="6" t="n">
        <v>2048.514</v>
      </c>
      <c r="H1161" s="6" t="s">
        <v>792</v>
      </c>
      <c r="I1161" s="0" t="n">
        <v>0.4</v>
      </c>
      <c r="J1161" s="0" t="n">
        <f aca="false">CONVERT(G1161,"m^2","ha")</f>
        <v>0.2048514</v>
      </c>
      <c r="K1161" s="0" t="b">
        <f aca="false">IF(J1161&gt;(I1161*2),((ROUNDDOWN(J1161/I1161,0))-1))</f>
        <v>0</v>
      </c>
    </row>
    <row r="1162" customFormat="false" ht="12.75" hidden="false" customHeight="false" outlineLevel="0" collapsed="false">
      <c r="A1162" s="5" t="n">
        <v>2073</v>
      </c>
      <c r="B1162" s="6" t="s">
        <v>3112</v>
      </c>
      <c r="C1162" s="6" t="s">
        <v>12</v>
      </c>
      <c r="D1162" s="6" t="s">
        <v>3113</v>
      </c>
      <c r="E1162" s="6" t="s">
        <v>14</v>
      </c>
      <c r="F1162" s="6" t="n">
        <v>1887.1882506</v>
      </c>
      <c r="G1162" s="6" t="n">
        <v>1887.188</v>
      </c>
      <c r="H1162" s="6" t="s">
        <v>792</v>
      </c>
      <c r="I1162" s="0" t="n">
        <v>0.4</v>
      </c>
      <c r="J1162" s="0" t="n">
        <f aca="false">CONVERT(G1162,"m^2","ha")</f>
        <v>0.1887188</v>
      </c>
      <c r="K1162" s="0" t="b">
        <f aca="false">IF(J1162&gt;(I1162*2),((ROUNDDOWN(J1162/I1162,0))-1))</f>
        <v>0</v>
      </c>
    </row>
    <row r="1163" customFormat="false" ht="12.75" hidden="false" customHeight="false" outlineLevel="0" collapsed="false">
      <c r="A1163" s="5" t="n">
        <v>2074</v>
      </c>
      <c r="B1163" s="6" t="s">
        <v>3114</v>
      </c>
      <c r="C1163" s="6" t="s">
        <v>12</v>
      </c>
      <c r="D1163" s="6" t="s">
        <v>3115</v>
      </c>
      <c r="E1163" s="6" t="s">
        <v>14</v>
      </c>
      <c r="F1163" s="6" t="n">
        <v>2600.834803345</v>
      </c>
      <c r="G1163" s="6" t="n">
        <v>2600.835</v>
      </c>
      <c r="H1163" s="6" t="s">
        <v>792</v>
      </c>
      <c r="I1163" s="0" t="n">
        <v>0.4</v>
      </c>
      <c r="J1163" s="0" t="n">
        <f aca="false">CONVERT(G1163,"m^2","ha")</f>
        <v>0.2600835</v>
      </c>
      <c r="K1163" s="0" t="b">
        <f aca="false">IF(J1163&gt;(I1163*2),((ROUNDDOWN(J1163/I1163,0))-1))</f>
        <v>0</v>
      </c>
    </row>
    <row r="1164" customFormat="false" ht="12.75" hidden="false" customHeight="false" outlineLevel="0" collapsed="false">
      <c r="A1164" s="5" t="n">
        <v>2075</v>
      </c>
      <c r="B1164" s="6" t="s">
        <v>3116</v>
      </c>
      <c r="C1164" s="6" t="s">
        <v>12</v>
      </c>
      <c r="D1164" s="6" t="s">
        <v>3117</v>
      </c>
      <c r="E1164" s="6" t="s">
        <v>14</v>
      </c>
      <c r="F1164" s="6" t="n">
        <v>4153.18518759</v>
      </c>
      <c r="G1164" s="6" t="n">
        <v>4153.185</v>
      </c>
      <c r="H1164" s="6" t="s">
        <v>792</v>
      </c>
      <c r="I1164" s="0" t="n">
        <v>0.4</v>
      </c>
      <c r="J1164" s="0" t="n">
        <f aca="false">CONVERT(G1164,"m^2","ha")</f>
        <v>0.4153185</v>
      </c>
      <c r="K1164" s="0" t="b">
        <f aca="false">IF(J1164&gt;(I1164*2),((ROUNDDOWN(J1164/I1164,0))-1))</f>
        <v>0</v>
      </c>
    </row>
    <row r="1165" customFormat="false" ht="12.75" hidden="false" customHeight="false" outlineLevel="0" collapsed="false">
      <c r="A1165" s="5" t="n">
        <v>2077</v>
      </c>
      <c r="B1165" s="6" t="s">
        <v>3118</v>
      </c>
      <c r="C1165" s="6" t="s">
        <v>12</v>
      </c>
      <c r="D1165" s="6" t="s">
        <v>3119</v>
      </c>
      <c r="E1165" s="6" t="s">
        <v>14</v>
      </c>
      <c r="F1165" s="6" t="n">
        <v>3932.577845635</v>
      </c>
      <c r="G1165" s="6" t="n">
        <v>3932.578</v>
      </c>
      <c r="H1165" s="6" t="s">
        <v>792</v>
      </c>
      <c r="I1165" s="0" t="n">
        <v>0.4</v>
      </c>
      <c r="J1165" s="0" t="n">
        <f aca="false">CONVERT(G1165,"m^2","ha")</f>
        <v>0.3932578</v>
      </c>
      <c r="K1165" s="0" t="b">
        <f aca="false">IF(J1165&gt;(I1165*2),((ROUNDDOWN(J1165/I1165,0))-1))</f>
        <v>0</v>
      </c>
    </row>
    <row r="1166" customFormat="false" ht="12.75" hidden="false" customHeight="false" outlineLevel="0" collapsed="false">
      <c r="A1166" s="5" t="n">
        <v>2078</v>
      </c>
      <c r="B1166" s="6" t="s">
        <v>3120</v>
      </c>
      <c r="C1166" s="6" t="s">
        <v>12</v>
      </c>
      <c r="D1166" s="6" t="s">
        <v>3121</v>
      </c>
      <c r="E1166" s="6" t="s">
        <v>2733</v>
      </c>
      <c r="F1166" s="6" t="n">
        <v>405.57865428</v>
      </c>
      <c r="G1166" s="6" t="n">
        <v>405.579</v>
      </c>
      <c r="H1166" s="6" t="s">
        <v>792</v>
      </c>
      <c r="I1166" s="0" t="n">
        <v>0.4</v>
      </c>
      <c r="J1166" s="0" t="n">
        <f aca="false">CONVERT(G1166,"m^2","ha")</f>
        <v>0.0405579</v>
      </c>
      <c r="K1166" s="0" t="b">
        <f aca="false">IF(J1166&gt;(I1166*2),((ROUNDDOWN(J1166/I1166,0))-1))</f>
        <v>0</v>
      </c>
    </row>
    <row r="1167" customFormat="false" ht="12.75" hidden="false" customHeight="false" outlineLevel="0" collapsed="false">
      <c r="A1167" s="5" t="n">
        <v>2080</v>
      </c>
      <c r="B1167" s="6" t="s">
        <v>3122</v>
      </c>
      <c r="C1167" s="6" t="s">
        <v>12</v>
      </c>
      <c r="D1167" s="6" t="s">
        <v>3123</v>
      </c>
      <c r="E1167" s="6" t="s">
        <v>14</v>
      </c>
      <c r="F1167" s="6" t="n">
        <v>2839.85526032</v>
      </c>
      <c r="G1167" s="6" t="n">
        <v>2839.855</v>
      </c>
      <c r="H1167" s="6" t="s">
        <v>792</v>
      </c>
      <c r="I1167" s="0" t="n">
        <v>0.4</v>
      </c>
      <c r="J1167" s="0" t="n">
        <f aca="false">CONVERT(G1167,"m^2","ha")</f>
        <v>0.2839855</v>
      </c>
      <c r="K1167" s="0" t="b">
        <f aca="false">IF(J1167&gt;(I1167*2),((ROUNDDOWN(J1167/I1167,0))-1))</f>
        <v>0</v>
      </c>
    </row>
    <row r="1168" customFormat="false" ht="12.75" hidden="false" customHeight="false" outlineLevel="0" collapsed="false">
      <c r="A1168" s="5" t="n">
        <v>2081</v>
      </c>
      <c r="B1168" s="6" t="s">
        <v>3124</v>
      </c>
      <c r="C1168" s="6" t="s">
        <v>12</v>
      </c>
      <c r="D1168" s="6" t="s">
        <v>3125</v>
      </c>
      <c r="E1168" s="6" t="s">
        <v>14</v>
      </c>
      <c r="F1168" s="6" t="n">
        <v>1738.891617155</v>
      </c>
      <c r="G1168" s="6" t="n">
        <v>1738.892</v>
      </c>
      <c r="H1168" s="6" t="s">
        <v>792</v>
      </c>
      <c r="I1168" s="0" t="n">
        <v>0.4</v>
      </c>
      <c r="J1168" s="0" t="n">
        <f aca="false">CONVERT(G1168,"m^2","ha")</f>
        <v>0.1738892</v>
      </c>
      <c r="K1168" s="0" t="b">
        <f aca="false">IF(J1168&gt;(I1168*2),((ROUNDDOWN(J1168/I1168,0))-1))</f>
        <v>0</v>
      </c>
    </row>
    <row r="1169" customFormat="false" ht="12.75" hidden="false" customHeight="false" outlineLevel="0" collapsed="false">
      <c r="A1169" s="5" t="n">
        <v>2082</v>
      </c>
      <c r="B1169" s="6" t="s">
        <v>3126</v>
      </c>
      <c r="C1169" s="6" t="s">
        <v>12</v>
      </c>
      <c r="D1169" s="6" t="s">
        <v>3127</v>
      </c>
      <c r="E1169" s="6" t="s">
        <v>14</v>
      </c>
      <c r="F1169" s="6" t="n">
        <v>2133.00039586</v>
      </c>
      <c r="G1169" s="6" t="n">
        <v>2133</v>
      </c>
      <c r="H1169" s="6" t="s">
        <v>792</v>
      </c>
      <c r="I1169" s="0" t="n">
        <v>0.4</v>
      </c>
      <c r="J1169" s="0" t="n">
        <f aca="false">CONVERT(G1169,"m^2","ha")</f>
        <v>0.2133</v>
      </c>
      <c r="K1169" s="0" t="b">
        <f aca="false">IF(J1169&gt;(I1169*2),((ROUNDDOWN(J1169/I1169,0))-1))</f>
        <v>0</v>
      </c>
    </row>
    <row r="1170" customFormat="false" ht="12.75" hidden="false" customHeight="false" outlineLevel="0" collapsed="false">
      <c r="A1170" s="5" t="n">
        <v>2083</v>
      </c>
      <c r="B1170" s="6" t="s">
        <v>3128</v>
      </c>
      <c r="C1170" s="6" t="s">
        <v>12</v>
      </c>
      <c r="D1170" s="6" t="s">
        <v>3129</v>
      </c>
      <c r="E1170" s="6" t="s">
        <v>14</v>
      </c>
      <c r="F1170" s="6" t="n">
        <v>738.896691485</v>
      </c>
      <c r="G1170" s="6" t="n">
        <v>738.897</v>
      </c>
      <c r="H1170" s="6" t="s">
        <v>792</v>
      </c>
      <c r="I1170" s="0" t="n">
        <v>0.4</v>
      </c>
      <c r="J1170" s="0" t="n">
        <f aca="false">CONVERT(G1170,"m^2","ha")</f>
        <v>0.0738897</v>
      </c>
      <c r="K1170" s="0" t="b">
        <f aca="false">IF(J1170&gt;(I1170*2),((ROUNDDOWN(J1170/I1170,0))-1))</f>
        <v>0</v>
      </c>
    </row>
    <row r="1171" customFormat="false" ht="12.75" hidden="false" customHeight="false" outlineLevel="0" collapsed="false">
      <c r="A1171" s="5" t="n">
        <v>2084</v>
      </c>
      <c r="B1171" s="6" t="s">
        <v>3130</v>
      </c>
      <c r="C1171" s="6" t="s">
        <v>12</v>
      </c>
      <c r="D1171" s="6" t="s">
        <v>3131</v>
      </c>
      <c r="E1171" s="6" t="s">
        <v>14</v>
      </c>
      <c r="F1171" s="6" t="n">
        <v>1446.07935571</v>
      </c>
      <c r="G1171" s="6" t="n">
        <v>1446.079</v>
      </c>
      <c r="H1171" s="6" t="s">
        <v>792</v>
      </c>
      <c r="I1171" s="0" t="n">
        <v>0.4</v>
      </c>
      <c r="J1171" s="0" t="n">
        <f aca="false">CONVERT(G1171,"m^2","ha")</f>
        <v>0.1446079</v>
      </c>
      <c r="K1171" s="0" t="b">
        <f aca="false">IF(J1171&gt;(I1171*2),((ROUNDDOWN(J1171/I1171,0))-1))</f>
        <v>0</v>
      </c>
    </row>
    <row r="1172" customFormat="false" ht="12.75" hidden="false" customHeight="false" outlineLevel="0" collapsed="false">
      <c r="A1172" s="5" t="n">
        <v>2085</v>
      </c>
      <c r="B1172" s="6" t="s">
        <v>3132</v>
      </c>
      <c r="C1172" s="6" t="s">
        <v>12</v>
      </c>
      <c r="D1172" s="6" t="s">
        <v>3133</v>
      </c>
      <c r="E1172" s="6" t="s">
        <v>14</v>
      </c>
      <c r="F1172" s="6" t="n">
        <v>1939.59762053</v>
      </c>
      <c r="G1172" s="6" t="n">
        <v>1939.598</v>
      </c>
      <c r="H1172" s="6" t="s">
        <v>792</v>
      </c>
      <c r="I1172" s="0" t="n">
        <v>0.4</v>
      </c>
      <c r="J1172" s="0" t="n">
        <f aca="false">CONVERT(G1172,"m^2","ha")</f>
        <v>0.1939598</v>
      </c>
      <c r="K1172" s="0" t="b">
        <f aca="false">IF(J1172&gt;(I1172*2),((ROUNDDOWN(J1172/I1172,0))-1))</f>
        <v>0</v>
      </c>
    </row>
    <row r="1173" customFormat="false" ht="12.75" hidden="false" customHeight="false" outlineLevel="0" collapsed="false">
      <c r="A1173" s="5" t="n">
        <v>2086</v>
      </c>
      <c r="B1173" s="6" t="s">
        <v>3134</v>
      </c>
      <c r="C1173" s="6" t="s">
        <v>12</v>
      </c>
      <c r="D1173" s="6" t="s">
        <v>3135</v>
      </c>
      <c r="E1173" s="6" t="s">
        <v>14</v>
      </c>
      <c r="F1173" s="6" t="n">
        <v>1691.250927105</v>
      </c>
      <c r="G1173" s="6" t="n">
        <v>1691.251</v>
      </c>
      <c r="H1173" s="6" t="s">
        <v>792</v>
      </c>
      <c r="I1173" s="0" t="n">
        <v>0.4</v>
      </c>
      <c r="J1173" s="0" t="n">
        <f aca="false">CONVERT(G1173,"m^2","ha")</f>
        <v>0.1691251</v>
      </c>
      <c r="K1173" s="0" t="b">
        <f aca="false">IF(J1173&gt;(I1173*2),((ROUNDDOWN(J1173/I1173,0))-1))</f>
        <v>0</v>
      </c>
    </row>
    <row r="1174" customFormat="false" ht="12.75" hidden="false" customHeight="false" outlineLevel="0" collapsed="false">
      <c r="A1174" s="5" t="n">
        <v>2087</v>
      </c>
      <c r="B1174" s="6" t="s">
        <v>3136</v>
      </c>
      <c r="C1174" s="6" t="s">
        <v>12</v>
      </c>
      <c r="D1174" s="6" t="s">
        <v>3137</v>
      </c>
      <c r="E1174" s="6" t="s">
        <v>14</v>
      </c>
      <c r="F1174" s="6" t="n">
        <v>1421.829468225</v>
      </c>
      <c r="G1174" s="6" t="n">
        <v>1421.829</v>
      </c>
      <c r="H1174" s="6" t="s">
        <v>792</v>
      </c>
      <c r="I1174" s="0" t="n">
        <v>0.4</v>
      </c>
      <c r="J1174" s="0" t="n">
        <f aca="false">CONVERT(G1174,"m^2","ha")</f>
        <v>0.1421829</v>
      </c>
      <c r="K1174" s="0" t="b">
        <f aca="false">IF(J1174&gt;(I1174*2),((ROUNDDOWN(J1174/I1174,0))-1))</f>
        <v>0</v>
      </c>
    </row>
    <row r="1175" customFormat="false" ht="12.75" hidden="false" customHeight="false" outlineLevel="0" collapsed="false">
      <c r="A1175" s="5" t="n">
        <v>2089</v>
      </c>
      <c r="B1175" s="6" t="s">
        <v>3138</v>
      </c>
      <c r="C1175" s="6" t="s">
        <v>12</v>
      </c>
      <c r="D1175" s="6" t="s">
        <v>3139</v>
      </c>
      <c r="E1175" s="6" t="s">
        <v>14</v>
      </c>
      <c r="F1175" s="6" t="n">
        <v>1933.385263045</v>
      </c>
      <c r="G1175" s="6" t="n">
        <v>1933.385</v>
      </c>
      <c r="H1175" s="6" t="s">
        <v>792</v>
      </c>
      <c r="I1175" s="0" t="n">
        <v>0.4</v>
      </c>
      <c r="J1175" s="0" t="n">
        <f aca="false">CONVERT(G1175,"m^2","ha")</f>
        <v>0.1933385</v>
      </c>
      <c r="K1175" s="0" t="b">
        <f aca="false">IF(J1175&gt;(I1175*2),((ROUNDDOWN(J1175/I1175,0))-1))</f>
        <v>0</v>
      </c>
    </row>
    <row r="1176" customFormat="false" ht="12.75" hidden="false" customHeight="false" outlineLevel="0" collapsed="false">
      <c r="A1176" s="5" t="n">
        <v>2090</v>
      </c>
      <c r="B1176" s="6" t="s">
        <v>3140</v>
      </c>
      <c r="C1176" s="6" t="s">
        <v>12</v>
      </c>
      <c r="D1176" s="6" t="s">
        <v>3141</v>
      </c>
      <c r="E1176" s="6" t="s">
        <v>14</v>
      </c>
      <c r="F1176" s="6" t="n">
        <v>1350.62287494</v>
      </c>
      <c r="G1176" s="6" t="n">
        <v>1350.623</v>
      </c>
      <c r="H1176" s="6" t="s">
        <v>792</v>
      </c>
      <c r="I1176" s="0" t="n">
        <v>0.4</v>
      </c>
      <c r="J1176" s="0" t="n">
        <f aca="false">CONVERT(G1176,"m^2","ha")</f>
        <v>0.1350623</v>
      </c>
      <c r="K1176" s="0" t="b">
        <f aca="false">IF(J1176&gt;(I1176*2),((ROUNDDOWN(J1176/I1176,0))-1))</f>
        <v>0</v>
      </c>
    </row>
    <row r="1177" customFormat="false" ht="12.75" hidden="false" customHeight="false" outlineLevel="0" collapsed="false">
      <c r="A1177" s="5" t="n">
        <v>2091</v>
      </c>
      <c r="B1177" s="6" t="s">
        <v>3142</v>
      </c>
      <c r="C1177" s="6" t="s">
        <v>12</v>
      </c>
      <c r="D1177" s="6" t="s">
        <v>3143</v>
      </c>
      <c r="E1177" s="6" t="s">
        <v>14</v>
      </c>
      <c r="F1177" s="6" t="n">
        <v>2664.633393965</v>
      </c>
      <c r="G1177" s="6" t="n">
        <v>2664.633</v>
      </c>
      <c r="H1177" s="6" t="s">
        <v>792</v>
      </c>
      <c r="I1177" s="0" t="n">
        <v>0.4</v>
      </c>
      <c r="J1177" s="0" t="n">
        <f aca="false">CONVERT(G1177,"m^2","ha")</f>
        <v>0.2664633</v>
      </c>
      <c r="K1177" s="0" t="b">
        <f aca="false">IF(J1177&gt;(I1177*2),((ROUNDDOWN(J1177/I1177,0))-1))</f>
        <v>0</v>
      </c>
    </row>
    <row r="1178" customFormat="false" ht="12.75" hidden="false" customHeight="false" outlineLevel="0" collapsed="false">
      <c r="A1178" s="5" t="n">
        <v>2092</v>
      </c>
      <c r="B1178" s="6" t="s">
        <v>3144</v>
      </c>
      <c r="C1178" s="6" t="s">
        <v>12</v>
      </c>
      <c r="D1178" s="6" t="s">
        <v>3145</v>
      </c>
      <c r="E1178" s="6" t="s">
        <v>14</v>
      </c>
      <c r="F1178" s="6" t="n">
        <v>533.731715935</v>
      </c>
      <c r="G1178" s="6" t="n">
        <v>533.732</v>
      </c>
      <c r="H1178" s="6" t="s">
        <v>792</v>
      </c>
      <c r="I1178" s="0" t="n">
        <v>0.4</v>
      </c>
      <c r="J1178" s="0" t="n">
        <f aca="false">CONVERT(G1178,"m^2","ha")</f>
        <v>0.0533732</v>
      </c>
      <c r="K1178" s="0" t="b">
        <f aca="false">IF(J1178&gt;(I1178*2),((ROUNDDOWN(J1178/I1178,0))-1))</f>
        <v>0</v>
      </c>
    </row>
    <row r="1179" customFormat="false" ht="12.75" hidden="false" customHeight="false" outlineLevel="0" collapsed="false">
      <c r="A1179" s="5" t="n">
        <v>2094</v>
      </c>
      <c r="B1179" s="6" t="s">
        <v>3146</v>
      </c>
      <c r="C1179" s="6" t="s">
        <v>12</v>
      </c>
      <c r="D1179" s="6" t="s">
        <v>3147</v>
      </c>
      <c r="E1179" s="6" t="s">
        <v>14</v>
      </c>
      <c r="F1179" s="6" t="n">
        <v>703.558110345</v>
      </c>
      <c r="G1179" s="6" t="n">
        <v>703.558</v>
      </c>
      <c r="H1179" s="6" t="s">
        <v>792</v>
      </c>
      <c r="I1179" s="0" t="n">
        <v>0.4</v>
      </c>
      <c r="J1179" s="0" t="n">
        <f aca="false">CONVERT(G1179,"m^2","ha")</f>
        <v>0.0703558</v>
      </c>
      <c r="K1179" s="0" t="b">
        <f aca="false">IF(J1179&gt;(I1179*2),((ROUNDDOWN(J1179/I1179,0))-1))</f>
        <v>0</v>
      </c>
    </row>
    <row r="1180" customFormat="false" ht="12.75" hidden="false" customHeight="false" outlineLevel="0" collapsed="false">
      <c r="A1180" s="5" t="n">
        <v>2095</v>
      </c>
      <c r="B1180" s="6" t="s">
        <v>3148</v>
      </c>
      <c r="C1180" s="6" t="s">
        <v>12</v>
      </c>
      <c r="D1180" s="6" t="s">
        <v>3149</v>
      </c>
      <c r="E1180" s="6" t="s">
        <v>14</v>
      </c>
      <c r="F1180" s="6" t="n">
        <v>2036.37428725</v>
      </c>
      <c r="G1180" s="6" t="n">
        <v>2036.374</v>
      </c>
      <c r="H1180" s="6" t="s">
        <v>792</v>
      </c>
      <c r="I1180" s="0" t="n">
        <v>0.4</v>
      </c>
      <c r="J1180" s="0" t="n">
        <f aca="false">CONVERT(G1180,"m^2","ha")</f>
        <v>0.2036374</v>
      </c>
      <c r="K1180" s="0" t="b">
        <f aca="false">IF(J1180&gt;(I1180*2),((ROUNDDOWN(J1180/I1180,0))-1))</f>
        <v>0</v>
      </c>
    </row>
    <row r="1181" customFormat="false" ht="12.75" hidden="false" customHeight="false" outlineLevel="0" collapsed="false">
      <c r="A1181" s="5" t="n">
        <v>2096</v>
      </c>
      <c r="B1181" s="6" t="s">
        <v>3150</v>
      </c>
      <c r="C1181" s="6" t="s">
        <v>12</v>
      </c>
      <c r="D1181" s="6" t="s">
        <v>3151</v>
      </c>
      <c r="E1181" s="6" t="s">
        <v>14</v>
      </c>
      <c r="F1181" s="6" t="n">
        <v>5350.26133501</v>
      </c>
      <c r="G1181" s="6" t="n">
        <v>5350.394</v>
      </c>
      <c r="H1181" s="6" t="s">
        <v>792</v>
      </c>
      <c r="I1181" s="0" t="n">
        <v>0.4</v>
      </c>
      <c r="J1181" s="0" t="n">
        <f aca="false">CONVERT(G1181,"m^2","ha")</f>
        <v>0.5350394</v>
      </c>
      <c r="K1181" s="0" t="b">
        <f aca="false">IF(J1181&gt;(I1181*2),((ROUNDDOWN(J1181/I1181,0))-1))</f>
        <v>0</v>
      </c>
    </row>
    <row r="1182" customFormat="false" ht="12.75" hidden="false" customHeight="false" outlineLevel="0" collapsed="false">
      <c r="A1182" s="5" t="n">
        <v>2097</v>
      </c>
      <c r="B1182" s="6" t="s">
        <v>3152</v>
      </c>
      <c r="C1182" s="6" t="s">
        <v>12</v>
      </c>
      <c r="D1182" s="6" t="s">
        <v>3153</v>
      </c>
      <c r="E1182" s="6" t="s">
        <v>14</v>
      </c>
      <c r="F1182" s="6" t="n">
        <v>880.61506347</v>
      </c>
      <c r="G1182" s="6" t="n">
        <v>880.615</v>
      </c>
      <c r="H1182" s="6" t="s">
        <v>792</v>
      </c>
      <c r="I1182" s="0" t="n">
        <v>0.4</v>
      </c>
      <c r="J1182" s="0" t="n">
        <f aca="false">CONVERT(G1182,"m^2","ha")</f>
        <v>0.0880615</v>
      </c>
      <c r="K1182" s="0" t="b">
        <f aca="false">IF(J1182&gt;(I1182*2),((ROUNDDOWN(J1182/I1182,0))-1))</f>
        <v>0</v>
      </c>
    </row>
    <row r="1183" customFormat="false" ht="12.75" hidden="false" customHeight="false" outlineLevel="0" collapsed="false">
      <c r="A1183" s="5" t="n">
        <v>2098</v>
      </c>
      <c r="B1183" s="6" t="s">
        <v>3154</v>
      </c>
      <c r="C1183" s="6" t="s">
        <v>12</v>
      </c>
      <c r="D1183" s="6" t="s">
        <v>3155</v>
      </c>
      <c r="E1183" s="6" t="s">
        <v>3156</v>
      </c>
      <c r="F1183" s="6" t="n">
        <v>806.574469035</v>
      </c>
      <c r="G1183" s="6" t="n">
        <v>806.574</v>
      </c>
      <c r="H1183" s="6" t="s">
        <v>792</v>
      </c>
      <c r="I1183" s="0" t="n">
        <v>0.4</v>
      </c>
      <c r="J1183" s="0" t="n">
        <f aca="false">CONVERT(G1183,"m^2","ha")</f>
        <v>0.0806574</v>
      </c>
      <c r="K1183" s="0" t="b">
        <f aca="false">IF(J1183&gt;(I1183*2),((ROUNDDOWN(J1183/I1183,0))-1))</f>
        <v>0</v>
      </c>
    </row>
    <row r="1184" customFormat="false" ht="12.75" hidden="false" customHeight="false" outlineLevel="0" collapsed="false">
      <c r="A1184" s="5" t="n">
        <v>2099</v>
      </c>
      <c r="B1184" s="6" t="s">
        <v>3157</v>
      </c>
      <c r="C1184" s="6" t="s">
        <v>12</v>
      </c>
      <c r="D1184" s="6" t="s">
        <v>3158</v>
      </c>
      <c r="E1184" s="6" t="s">
        <v>14</v>
      </c>
      <c r="F1184" s="6" t="n">
        <v>799.81748007</v>
      </c>
      <c r="G1184" s="6" t="n">
        <v>799.817</v>
      </c>
      <c r="H1184" s="6" t="s">
        <v>792</v>
      </c>
      <c r="I1184" s="0" t="n">
        <v>0.4</v>
      </c>
      <c r="J1184" s="0" t="n">
        <f aca="false">CONVERT(G1184,"m^2","ha")</f>
        <v>0.0799817</v>
      </c>
      <c r="K1184" s="0" t="b">
        <f aca="false">IF(J1184&gt;(I1184*2),((ROUNDDOWN(J1184/I1184,0))-1))</f>
        <v>0</v>
      </c>
    </row>
    <row r="1185" customFormat="false" ht="12.75" hidden="false" customHeight="false" outlineLevel="0" collapsed="false">
      <c r="A1185" s="5" t="n">
        <v>2100</v>
      </c>
      <c r="B1185" s="6" t="s">
        <v>3159</v>
      </c>
      <c r="C1185" s="6" t="s">
        <v>12</v>
      </c>
      <c r="D1185" s="6" t="s">
        <v>3160</v>
      </c>
      <c r="E1185" s="6" t="s">
        <v>14</v>
      </c>
      <c r="F1185" s="6" t="n">
        <v>3313.29231948</v>
      </c>
      <c r="G1185" s="6" t="n">
        <v>3313.292</v>
      </c>
      <c r="H1185" s="6" t="s">
        <v>792</v>
      </c>
      <c r="I1185" s="0" t="n">
        <v>0.4</v>
      </c>
      <c r="J1185" s="0" t="n">
        <f aca="false">CONVERT(G1185,"m^2","ha")</f>
        <v>0.3313292</v>
      </c>
      <c r="K1185" s="0" t="b">
        <f aca="false">IF(J1185&gt;(I1185*2),((ROUNDDOWN(J1185/I1185,0))-1))</f>
        <v>0</v>
      </c>
    </row>
    <row r="1186" customFormat="false" ht="12.75" hidden="false" customHeight="false" outlineLevel="0" collapsed="false">
      <c r="A1186" s="5" t="n">
        <v>2101</v>
      </c>
      <c r="B1186" s="6" t="s">
        <v>3161</v>
      </c>
      <c r="C1186" s="6" t="s">
        <v>12</v>
      </c>
      <c r="D1186" s="6" t="s">
        <v>3162</v>
      </c>
      <c r="E1186" s="6" t="s">
        <v>14</v>
      </c>
      <c r="F1186" s="6" t="n">
        <v>1450.1318122</v>
      </c>
      <c r="G1186" s="6" t="n">
        <v>1450.132</v>
      </c>
      <c r="H1186" s="6" t="s">
        <v>792</v>
      </c>
      <c r="I1186" s="0" t="n">
        <v>0.4</v>
      </c>
      <c r="J1186" s="0" t="n">
        <f aca="false">CONVERT(G1186,"m^2","ha")</f>
        <v>0.1450132</v>
      </c>
      <c r="K1186" s="0" t="b">
        <f aca="false">IF(J1186&gt;(I1186*2),((ROUNDDOWN(J1186/I1186,0))-1))</f>
        <v>0</v>
      </c>
    </row>
    <row r="1187" customFormat="false" ht="12.75" hidden="false" customHeight="false" outlineLevel="0" collapsed="false">
      <c r="A1187" s="5" t="n">
        <v>2102</v>
      </c>
      <c r="B1187" s="6" t="s">
        <v>3163</v>
      </c>
      <c r="C1187" s="6" t="s">
        <v>12</v>
      </c>
      <c r="D1187" s="6" t="s">
        <v>3164</v>
      </c>
      <c r="E1187" s="6" t="s">
        <v>14</v>
      </c>
      <c r="F1187" s="6" t="n">
        <v>2566.100325075</v>
      </c>
      <c r="G1187" s="6" t="n">
        <v>2566.1</v>
      </c>
      <c r="H1187" s="6" t="s">
        <v>792</v>
      </c>
      <c r="I1187" s="0" t="n">
        <v>0.4</v>
      </c>
      <c r="J1187" s="0" t="n">
        <f aca="false">CONVERT(G1187,"m^2","ha")</f>
        <v>0.25661</v>
      </c>
      <c r="K1187" s="0" t="b">
        <f aca="false">IF(J1187&gt;(I1187*2),((ROUNDDOWN(J1187/I1187,0))-1))</f>
        <v>0</v>
      </c>
    </row>
    <row r="1188" customFormat="false" ht="12.75" hidden="false" customHeight="false" outlineLevel="0" collapsed="false">
      <c r="A1188" s="5" t="n">
        <v>2103</v>
      </c>
      <c r="B1188" s="6" t="s">
        <v>3165</v>
      </c>
      <c r="C1188" s="6" t="s">
        <v>12</v>
      </c>
      <c r="D1188" s="6" t="s">
        <v>3166</v>
      </c>
      <c r="E1188" s="6" t="s">
        <v>14</v>
      </c>
      <c r="F1188" s="6" t="n">
        <v>2904.01305461</v>
      </c>
      <c r="G1188" s="6" t="n">
        <v>2904.013</v>
      </c>
      <c r="H1188" s="6" t="s">
        <v>792</v>
      </c>
      <c r="I1188" s="0" t="n">
        <v>0.4</v>
      </c>
      <c r="J1188" s="0" t="n">
        <f aca="false">CONVERT(G1188,"m^2","ha")</f>
        <v>0.2904013</v>
      </c>
      <c r="K1188" s="0" t="b">
        <f aca="false">IF(J1188&gt;(I1188*2),((ROUNDDOWN(J1188/I1188,0))-1))</f>
        <v>0</v>
      </c>
    </row>
    <row r="1189" customFormat="false" ht="12.75" hidden="false" customHeight="false" outlineLevel="0" collapsed="false">
      <c r="A1189" s="5" t="n">
        <v>2104</v>
      </c>
      <c r="B1189" s="6" t="s">
        <v>3167</v>
      </c>
      <c r="C1189" s="6" t="s">
        <v>12</v>
      </c>
      <c r="D1189" s="6" t="s">
        <v>3168</v>
      </c>
      <c r="E1189" s="6" t="s">
        <v>14</v>
      </c>
      <c r="F1189" s="6" t="n">
        <v>1208.811153135</v>
      </c>
      <c r="G1189" s="6" t="n">
        <v>1208.811</v>
      </c>
      <c r="H1189" s="6" t="s">
        <v>792</v>
      </c>
      <c r="I1189" s="0" t="n">
        <v>0.4</v>
      </c>
      <c r="J1189" s="0" t="n">
        <f aca="false">CONVERT(G1189,"m^2","ha")</f>
        <v>0.1208811</v>
      </c>
      <c r="K1189" s="0" t="b">
        <f aca="false">IF(J1189&gt;(I1189*2),((ROUNDDOWN(J1189/I1189,0))-1))</f>
        <v>0</v>
      </c>
    </row>
    <row r="1190" customFormat="false" ht="12.75" hidden="false" customHeight="false" outlineLevel="0" collapsed="false">
      <c r="A1190" s="5" t="n">
        <v>2105</v>
      </c>
      <c r="B1190" s="6" t="s">
        <v>3169</v>
      </c>
      <c r="C1190" s="6" t="s">
        <v>12</v>
      </c>
      <c r="D1190" s="6" t="s">
        <v>3170</v>
      </c>
      <c r="E1190" s="6" t="s">
        <v>14</v>
      </c>
      <c r="F1190" s="6" t="n">
        <v>3006.69980447</v>
      </c>
      <c r="G1190" s="6" t="n">
        <v>3006.7</v>
      </c>
      <c r="H1190" s="6" t="s">
        <v>792</v>
      </c>
      <c r="I1190" s="0" t="n">
        <v>0.4</v>
      </c>
      <c r="J1190" s="0" t="n">
        <f aca="false">CONVERT(G1190,"m^2","ha")</f>
        <v>0.30067</v>
      </c>
      <c r="K1190" s="0" t="b">
        <f aca="false">IF(J1190&gt;(I1190*2),((ROUNDDOWN(J1190/I1190,0))-1))</f>
        <v>0</v>
      </c>
    </row>
    <row r="1191" customFormat="false" ht="12.75" hidden="false" customHeight="false" outlineLevel="0" collapsed="false">
      <c r="A1191" s="5" t="n">
        <v>2106</v>
      </c>
      <c r="B1191" s="6" t="s">
        <v>3171</v>
      </c>
      <c r="C1191" s="6" t="s">
        <v>12</v>
      </c>
      <c r="D1191" s="6" t="s">
        <v>3172</v>
      </c>
      <c r="E1191" s="6" t="s">
        <v>14</v>
      </c>
      <c r="F1191" s="6" t="n">
        <v>2807.655695985</v>
      </c>
      <c r="G1191" s="6" t="n">
        <v>2807.656</v>
      </c>
      <c r="H1191" s="6" t="s">
        <v>792</v>
      </c>
      <c r="I1191" s="0" t="n">
        <v>0.4</v>
      </c>
      <c r="J1191" s="0" t="n">
        <f aca="false">CONVERT(G1191,"m^2","ha")</f>
        <v>0.2807656</v>
      </c>
      <c r="K1191" s="0" t="b">
        <f aca="false">IF(J1191&gt;(I1191*2),((ROUNDDOWN(J1191/I1191,0))-1))</f>
        <v>0</v>
      </c>
    </row>
    <row r="1192" customFormat="false" ht="12.75" hidden="false" customHeight="false" outlineLevel="0" collapsed="false">
      <c r="A1192" s="5" t="n">
        <v>2107</v>
      </c>
      <c r="B1192" s="6" t="s">
        <v>3173</v>
      </c>
      <c r="C1192" s="6" t="s">
        <v>12</v>
      </c>
      <c r="D1192" s="6" t="s">
        <v>3174</v>
      </c>
      <c r="E1192" s="6" t="s">
        <v>14</v>
      </c>
      <c r="F1192" s="6" t="n">
        <v>2019.6967232</v>
      </c>
      <c r="G1192" s="6" t="n">
        <v>2019.697</v>
      </c>
      <c r="H1192" s="6" t="s">
        <v>792</v>
      </c>
      <c r="I1192" s="0" t="n">
        <v>0.4</v>
      </c>
      <c r="J1192" s="0" t="n">
        <f aca="false">CONVERT(G1192,"m^2","ha")</f>
        <v>0.2019697</v>
      </c>
      <c r="K1192" s="0" t="b">
        <f aca="false">IF(J1192&gt;(I1192*2),((ROUNDDOWN(J1192/I1192,0))-1))</f>
        <v>0</v>
      </c>
    </row>
    <row r="1193" customFormat="false" ht="12.75" hidden="false" customHeight="false" outlineLevel="0" collapsed="false">
      <c r="A1193" s="5" t="n">
        <v>2108</v>
      </c>
      <c r="B1193" s="6" t="s">
        <v>3175</v>
      </c>
      <c r="C1193" s="6" t="s">
        <v>12</v>
      </c>
      <c r="D1193" s="6" t="s">
        <v>3176</v>
      </c>
      <c r="E1193" s="6" t="s">
        <v>14</v>
      </c>
      <c r="F1193" s="6" t="n">
        <v>2096.30143309</v>
      </c>
      <c r="G1193" s="6" t="n">
        <v>2096.301</v>
      </c>
      <c r="H1193" s="6" t="s">
        <v>792</v>
      </c>
      <c r="I1193" s="0" t="n">
        <v>0.4</v>
      </c>
      <c r="J1193" s="0" t="n">
        <f aca="false">CONVERT(G1193,"m^2","ha")</f>
        <v>0.2096301</v>
      </c>
      <c r="K1193" s="0" t="b">
        <f aca="false">IF(J1193&gt;(I1193*2),((ROUNDDOWN(J1193/I1193,0))-1))</f>
        <v>0</v>
      </c>
    </row>
    <row r="1194" customFormat="false" ht="12.75" hidden="false" customHeight="false" outlineLevel="0" collapsed="false">
      <c r="A1194" s="5" t="n">
        <v>2109</v>
      </c>
      <c r="B1194" s="6" t="s">
        <v>3177</v>
      </c>
      <c r="C1194" s="6" t="s">
        <v>12</v>
      </c>
      <c r="D1194" s="6" t="s">
        <v>3178</v>
      </c>
      <c r="E1194" s="6" t="s">
        <v>14</v>
      </c>
      <c r="F1194" s="6" t="n">
        <v>2166.181062815</v>
      </c>
      <c r="G1194" s="6" t="n">
        <v>2166.181</v>
      </c>
      <c r="H1194" s="6" t="s">
        <v>792</v>
      </c>
      <c r="I1194" s="0" t="n">
        <v>0.4</v>
      </c>
      <c r="J1194" s="0" t="n">
        <f aca="false">CONVERT(G1194,"m^2","ha")</f>
        <v>0.2166181</v>
      </c>
      <c r="K1194" s="0" t="b">
        <f aca="false">IF(J1194&gt;(I1194*2),((ROUNDDOWN(J1194/I1194,0))-1))</f>
        <v>0</v>
      </c>
    </row>
    <row r="1195" customFormat="false" ht="12.75" hidden="false" customHeight="false" outlineLevel="0" collapsed="false">
      <c r="A1195" s="5" t="n">
        <v>2110</v>
      </c>
      <c r="B1195" s="6" t="s">
        <v>3179</v>
      </c>
      <c r="C1195" s="6" t="s">
        <v>12</v>
      </c>
      <c r="D1195" s="6" t="s">
        <v>3180</v>
      </c>
      <c r="E1195" s="6" t="s">
        <v>14</v>
      </c>
      <c r="F1195" s="6" t="n">
        <v>1997.520162115</v>
      </c>
      <c r="G1195" s="6" t="n">
        <v>1997.52</v>
      </c>
      <c r="H1195" s="6" t="s">
        <v>792</v>
      </c>
      <c r="I1195" s="0" t="n">
        <v>0.4</v>
      </c>
      <c r="J1195" s="0" t="n">
        <f aca="false">CONVERT(G1195,"m^2","ha")</f>
        <v>0.199752</v>
      </c>
      <c r="K1195" s="0" t="b">
        <f aca="false">IF(J1195&gt;(I1195*2),((ROUNDDOWN(J1195/I1195,0))-1))</f>
        <v>0</v>
      </c>
    </row>
    <row r="1196" customFormat="false" ht="12.75" hidden="false" customHeight="false" outlineLevel="0" collapsed="false">
      <c r="A1196" s="5" t="n">
        <v>2111</v>
      </c>
      <c r="B1196" s="6" t="s">
        <v>3181</v>
      </c>
      <c r="C1196" s="6" t="s">
        <v>12</v>
      </c>
      <c r="D1196" s="6" t="s">
        <v>3182</v>
      </c>
      <c r="E1196" s="6" t="s">
        <v>14</v>
      </c>
      <c r="F1196" s="6" t="n">
        <v>2003.105218835</v>
      </c>
      <c r="G1196" s="6" t="n">
        <v>2003.105</v>
      </c>
      <c r="H1196" s="6" t="s">
        <v>792</v>
      </c>
      <c r="I1196" s="0" t="n">
        <v>0.4</v>
      </c>
      <c r="J1196" s="0" t="n">
        <f aca="false">CONVERT(G1196,"m^2","ha")</f>
        <v>0.2003105</v>
      </c>
      <c r="K1196" s="0" t="b">
        <f aca="false">IF(J1196&gt;(I1196*2),((ROUNDDOWN(J1196/I1196,0))-1))</f>
        <v>0</v>
      </c>
    </row>
    <row r="1197" customFormat="false" ht="12.75" hidden="false" customHeight="false" outlineLevel="0" collapsed="false">
      <c r="A1197" s="5" t="n">
        <v>2112</v>
      </c>
      <c r="B1197" s="6" t="s">
        <v>3183</v>
      </c>
      <c r="C1197" s="6" t="s">
        <v>12</v>
      </c>
      <c r="D1197" s="6" t="s">
        <v>3184</v>
      </c>
      <c r="E1197" s="6" t="s">
        <v>14</v>
      </c>
      <c r="F1197" s="6" t="n">
        <v>2576.553739135</v>
      </c>
      <c r="G1197" s="6" t="n">
        <v>2576.554</v>
      </c>
      <c r="H1197" s="6" t="s">
        <v>792</v>
      </c>
      <c r="I1197" s="0" t="n">
        <v>0.4</v>
      </c>
      <c r="J1197" s="0" t="n">
        <f aca="false">CONVERT(G1197,"m^2","ha")</f>
        <v>0.2576554</v>
      </c>
      <c r="K1197" s="0" t="b">
        <f aca="false">IF(J1197&gt;(I1197*2),((ROUNDDOWN(J1197/I1197,0))-1))</f>
        <v>0</v>
      </c>
    </row>
    <row r="1198" customFormat="false" ht="12.75" hidden="false" customHeight="false" outlineLevel="0" collapsed="false">
      <c r="A1198" s="5" t="n">
        <v>2113</v>
      </c>
      <c r="B1198" s="6" t="s">
        <v>3185</v>
      </c>
      <c r="C1198" s="6" t="s">
        <v>12</v>
      </c>
      <c r="D1198" s="6" t="s">
        <v>3186</v>
      </c>
      <c r="E1198" s="6" t="s">
        <v>14</v>
      </c>
      <c r="F1198" s="6" t="n">
        <v>3271.01271364</v>
      </c>
      <c r="G1198" s="6" t="n">
        <v>3271.013</v>
      </c>
      <c r="H1198" s="6" t="s">
        <v>792</v>
      </c>
      <c r="I1198" s="0" t="n">
        <v>0.4</v>
      </c>
      <c r="J1198" s="0" t="n">
        <f aca="false">CONVERT(G1198,"m^2","ha")</f>
        <v>0.3271013</v>
      </c>
      <c r="K1198" s="0" t="b">
        <f aca="false">IF(J1198&gt;(I1198*2),((ROUNDDOWN(J1198/I1198,0))-1))</f>
        <v>0</v>
      </c>
    </row>
    <row r="1199" customFormat="false" ht="12.75" hidden="false" customHeight="false" outlineLevel="0" collapsed="false">
      <c r="A1199" s="5" t="n">
        <v>2114</v>
      </c>
      <c r="B1199" s="6" t="s">
        <v>3187</v>
      </c>
      <c r="C1199" s="6" t="s">
        <v>12</v>
      </c>
      <c r="D1199" s="6" t="s">
        <v>3188</v>
      </c>
      <c r="E1199" s="6" t="s">
        <v>14</v>
      </c>
      <c r="F1199" s="6" t="n">
        <v>806.72860571</v>
      </c>
      <c r="G1199" s="6" t="n">
        <v>806.729</v>
      </c>
      <c r="H1199" s="6" t="s">
        <v>792</v>
      </c>
      <c r="I1199" s="0" t="n">
        <v>0.4</v>
      </c>
      <c r="J1199" s="0" t="n">
        <f aca="false">CONVERT(G1199,"m^2","ha")</f>
        <v>0.0806729</v>
      </c>
      <c r="K1199" s="0" t="b">
        <f aca="false">IF(J1199&gt;(I1199*2),((ROUNDDOWN(J1199/I1199,0))-1))</f>
        <v>0</v>
      </c>
    </row>
    <row r="1200" customFormat="false" ht="12.75" hidden="false" customHeight="false" outlineLevel="0" collapsed="false">
      <c r="A1200" s="5" t="n">
        <v>2116</v>
      </c>
      <c r="B1200" s="6" t="s">
        <v>3189</v>
      </c>
      <c r="C1200" s="6" t="s">
        <v>12</v>
      </c>
      <c r="D1200" s="6" t="s">
        <v>3190</v>
      </c>
      <c r="E1200" s="6" t="s">
        <v>14</v>
      </c>
      <c r="F1200" s="6" t="n">
        <v>1910.76152091</v>
      </c>
      <c r="G1200" s="6" t="n">
        <v>1910.762</v>
      </c>
      <c r="H1200" s="6" t="s">
        <v>792</v>
      </c>
      <c r="I1200" s="0" t="n">
        <v>0.4</v>
      </c>
      <c r="J1200" s="0" t="n">
        <f aca="false">CONVERT(G1200,"m^2","ha")</f>
        <v>0.1910762</v>
      </c>
      <c r="K1200" s="0" t="b">
        <f aca="false">IF(J1200&gt;(I1200*2),((ROUNDDOWN(J1200/I1200,0))-1))</f>
        <v>0</v>
      </c>
    </row>
    <row r="1201" customFormat="false" ht="12.75" hidden="false" customHeight="false" outlineLevel="0" collapsed="false">
      <c r="A1201" s="5" t="n">
        <v>2117</v>
      </c>
      <c r="B1201" s="6" t="s">
        <v>3191</v>
      </c>
      <c r="C1201" s="6" t="s">
        <v>12</v>
      </c>
      <c r="D1201" s="6" t="s">
        <v>3192</v>
      </c>
      <c r="E1201" s="6" t="s">
        <v>14</v>
      </c>
      <c r="F1201" s="6" t="n">
        <v>2851.93991643</v>
      </c>
      <c r="G1201" s="6" t="n">
        <v>2851.94</v>
      </c>
      <c r="H1201" s="6" t="s">
        <v>792</v>
      </c>
      <c r="I1201" s="0" t="n">
        <v>0.4</v>
      </c>
      <c r="J1201" s="0" t="n">
        <f aca="false">CONVERT(G1201,"m^2","ha")</f>
        <v>0.285194</v>
      </c>
      <c r="K1201" s="0" t="b">
        <f aca="false">IF(J1201&gt;(I1201*2),((ROUNDDOWN(J1201/I1201,0))-1))</f>
        <v>0</v>
      </c>
    </row>
    <row r="1202" customFormat="false" ht="12.75" hidden="false" customHeight="false" outlineLevel="0" collapsed="false">
      <c r="A1202" s="5" t="n">
        <v>2118</v>
      </c>
      <c r="B1202" s="6" t="s">
        <v>3193</v>
      </c>
      <c r="C1202" s="6" t="s">
        <v>12</v>
      </c>
      <c r="D1202" s="6" t="s">
        <v>3194</v>
      </c>
      <c r="E1202" s="6" t="s">
        <v>14</v>
      </c>
      <c r="F1202" s="6" t="n">
        <v>1147.120572695</v>
      </c>
      <c r="G1202" s="6" t="n">
        <v>1147.121</v>
      </c>
      <c r="H1202" s="6" t="s">
        <v>792</v>
      </c>
      <c r="I1202" s="0" t="n">
        <v>0.4</v>
      </c>
      <c r="J1202" s="0" t="n">
        <f aca="false">CONVERT(G1202,"m^2","ha")</f>
        <v>0.1147121</v>
      </c>
      <c r="K1202" s="0" t="b">
        <f aca="false">IF(J1202&gt;(I1202*2),((ROUNDDOWN(J1202/I1202,0))-1))</f>
        <v>0</v>
      </c>
    </row>
    <row r="1203" customFormat="false" ht="12.75" hidden="false" customHeight="false" outlineLevel="0" collapsed="false">
      <c r="A1203" s="5" t="n">
        <v>2119</v>
      </c>
      <c r="B1203" s="6" t="s">
        <v>3195</v>
      </c>
      <c r="C1203" s="6" t="s">
        <v>12</v>
      </c>
      <c r="D1203" s="6" t="s">
        <v>3196</v>
      </c>
      <c r="E1203" s="6" t="s">
        <v>14</v>
      </c>
      <c r="F1203" s="6" t="n">
        <v>2381.66885898</v>
      </c>
      <c r="G1203" s="6" t="n">
        <v>2381.669</v>
      </c>
      <c r="H1203" s="6" t="s">
        <v>792</v>
      </c>
      <c r="I1203" s="0" t="n">
        <v>0.4</v>
      </c>
      <c r="J1203" s="0" t="n">
        <f aca="false">CONVERT(G1203,"m^2","ha")</f>
        <v>0.2381669</v>
      </c>
      <c r="K1203" s="0" t="b">
        <f aca="false">IF(J1203&gt;(I1203*2),((ROUNDDOWN(J1203/I1203,0))-1))</f>
        <v>0</v>
      </c>
    </row>
    <row r="1204" customFormat="false" ht="12.75" hidden="false" customHeight="false" outlineLevel="0" collapsed="false">
      <c r="A1204" s="5" t="n">
        <v>2120</v>
      </c>
      <c r="B1204" s="6" t="s">
        <v>3197</v>
      </c>
      <c r="C1204" s="6" t="s">
        <v>12</v>
      </c>
      <c r="D1204" s="6" t="s">
        <v>3198</v>
      </c>
      <c r="E1204" s="6" t="s">
        <v>14</v>
      </c>
      <c r="F1204" s="6" t="n">
        <v>2061.009562445</v>
      </c>
      <c r="G1204" s="6" t="n">
        <v>2061.01</v>
      </c>
      <c r="H1204" s="6" t="s">
        <v>792</v>
      </c>
      <c r="I1204" s="0" t="n">
        <v>0.4</v>
      </c>
      <c r="J1204" s="0" t="n">
        <f aca="false">CONVERT(G1204,"m^2","ha")</f>
        <v>0.206101</v>
      </c>
      <c r="K1204" s="0" t="b">
        <f aca="false">IF(J1204&gt;(I1204*2),((ROUNDDOWN(J1204/I1204,0))-1))</f>
        <v>0</v>
      </c>
    </row>
    <row r="1205" customFormat="false" ht="12.75" hidden="false" customHeight="false" outlineLevel="0" collapsed="false">
      <c r="A1205" s="5" t="n">
        <v>2121</v>
      </c>
      <c r="B1205" s="6" t="s">
        <v>3199</v>
      </c>
      <c r="C1205" s="6" t="s">
        <v>12</v>
      </c>
      <c r="D1205" s="6" t="s">
        <v>3200</v>
      </c>
      <c r="E1205" s="6" t="s">
        <v>14</v>
      </c>
      <c r="F1205" s="6" t="n">
        <v>2022.70085395</v>
      </c>
      <c r="G1205" s="6" t="n">
        <v>2022.701</v>
      </c>
      <c r="H1205" s="6" t="s">
        <v>792</v>
      </c>
      <c r="I1205" s="0" t="n">
        <v>0.4</v>
      </c>
      <c r="J1205" s="0" t="n">
        <f aca="false">CONVERT(G1205,"m^2","ha")</f>
        <v>0.2022701</v>
      </c>
      <c r="K1205" s="0" t="b">
        <f aca="false">IF(J1205&gt;(I1205*2),((ROUNDDOWN(J1205/I1205,0))-1))</f>
        <v>0</v>
      </c>
    </row>
    <row r="1206" customFormat="false" ht="12.75" hidden="false" customHeight="false" outlineLevel="0" collapsed="false">
      <c r="A1206" s="5" t="n">
        <v>2122</v>
      </c>
      <c r="B1206" s="6" t="s">
        <v>3201</v>
      </c>
      <c r="C1206" s="6" t="s">
        <v>12</v>
      </c>
      <c r="D1206" s="6" t="s">
        <v>3202</v>
      </c>
      <c r="E1206" s="6" t="s">
        <v>14</v>
      </c>
      <c r="F1206" s="6" t="n">
        <v>1758.631711285</v>
      </c>
      <c r="G1206" s="6" t="n">
        <v>1758.632</v>
      </c>
      <c r="H1206" s="6" t="s">
        <v>792</v>
      </c>
      <c r="I1206" s="0" t="n">
        <v>0.4</v>
      </c>
      <c r="J1206" s="0" t="n">
        <f aca="false">CONVERT(G1206,"m^2","ha")</f>
        <v>0.1758632</v>
      </c>
      <c r="K1206" s="0" t="b">
        <f aca="false">IF(J1206&gt;(I1206*2),((ROUNDDOWN(J1206/I1206,0))-1))</f>
        <v>0</v>
      </c>
    </row>
    <row r="1207" customFormat="false" ht="12.75" hidden="false" customHeight="false" outlineLevel="0" collapsed="false">
      <c r="A1207" s="5" t="n">
        <v>2123</v>
      </c>
      <c r="B1207" s="6" t="s">
        <v>3203</v>
      </c>
      <c r="C1207" s="6" t="s">
        <v>12</v>
      </c>
      <c r="D1207" s="6" t="s">
        <v>3204</v>
      </c>
      <c r="E1207" s="6" t="s">
        <v>14</v>
      </c>
      <c r="F1207" s="6" t="n">
        <v>2465.418206215</v>
      </c>
      <c r="G1207" s="6" t="n">
        <v>2465.418</v>
      </c>
      <c r="H1207" s="6" t="s">
        <v>792</v>
      </c>
      <c r="I1207" s="0" t="n">
        <v>0.4</v>
      </c>
      <c r="J1207" s="0" t="n">
        <f aca="false">CONVERT(G1207,"m^2","ha")</f>
        <v>0.2465418</v>
      </c>
      <c r="K1207" s="0" t="b">
        <f aca="false">IF(J1207&gt;(I1207*2),((ROUNDDOWN(J1207/I1207,0))-1))</f>
        <v>0</v>
      </c>
    </row>
    <row r="1208" customFormat="false" ht="12.75" hidden="false" customHeight="false" outlineLevel="0" collapsed="false">
      <c r="A1208" s="5" t="n">
        <v>2124</v>
      </c>
      <c r="B1208" s="6" t="s">
        <v>3205</v>
      </c>
      <c r="C1208" s="6" t="s">
        <v>12</v>
      </c>
      <c r="D1208" s="6" t="s">
        <v>3206</v>
      </c>
      <c r="E1208" s="6" t="s">
        <v>14</v>
      </c>
      <c r="F1208" s="6" t="n">
        <v>2801.99027183</v>
      </c>
      <c r="G1208" s="6" t="n">
        <v>2801.99</v>
      </c>
      <c r="H1208" s="6" t="s">
        <v>792</v>
      </c>
      <c r="I1208" s="0" t="n">
        <v>0.4</v>
      </c>
      <c r="J1208" s="0" t="n">
        <f aca="false">CONVERT(G1208,"m^2","ha")</f>
        <v>0.280199</v>
      </c>
      <c r="K1208" s="0" t="b">
        <f aca="false">IF(J1208&gt;(I1208*2),((ROUNDDOWN(J1208/I1208,0))-1))</f>
        <v>0</v>
      </c>
    </row>
    <row r="1209" customFormat="false" ht="12.75" hidden="false" customHeight="false" outlineLevel="0" collapsed="false">
      <c r="A1209" s="5" t="n">
        <v>2125</v>
      </c>
      <c r="B1209" s="6" t="s">
        <v>3207</v>
      </c>
      <c r="C1209" s="6" t="s">
        <v>12</v>
      </c>
      <c r="D1209" s="6" t="s">
        <v>3208</v>
      </c>
      <c r="E1209" s="6" t="s">
        <v>14</v>
      </c>
      <c r="F1209" s="6" t="n">
        <v>2703.39153845</v>
      </c>
      <c r="G1209" s="6" t="n">
        <v>2703.392</v>
      </c>
      <c r="H1209" s="6" t="s">
        <v>792</v>
      </c>
      <c r="I1209" s="0" t="n">
        <v>0.4</v>
      </c>
      <c r="J1209" s="0" t="n">
        <f aca="false">CONVERT(G1209,"m^2","ha")</f>
        <v>0.2703392</v>
      </c>
      <c r="K1209" s="0" t="b">
        <f aca="false">IF(J1209&gt;(I1209*2),((ROUNDDOWN(J1209/I1209,0))-1))</f>
        <v>0</v>
      </c>
    </row>
    <row r="1210" customFormat="false" ht="12.75" hidden="false" customHeight="false" outlineLevel="0" collapsed="false">
      <c r="A1210" s="5" t="n">
        <v>2131</v>
      </c>
      <c r="B1210" s="6" t="s">
        <v>3209</v>
      </c>
      <c r="C1210" s="6" t="s">
        <v>12</v>
      </c>
      <c r="D1210" s="6" t="s">
        <v>3210</v>
      </c>
      <c r="E1210" s="6" t="s">
        <v>14</v>
      </c>
      <c r="F1210" s="6" t="n">
        <v>17465.361569765</v>
      </c>
      <c r="G1210" s="6" t="n">
        <v>17465.362</v>
      </c>
      <c r="H1210" s="6" t="s">
        <v>792</v>
      </c>
      <c r="I1210" s="0" t="n">
        <v>0.4</v>
      </c>
      <c r="J1210" s="0" t="n">
        <f aca="false">CONVERT(G1210,"m^2","ha")</f>
        <v>1.7465362</v>
      </c>
      <c r="K1210" s="0" t="n">
        <f aca="false">IF(J1210&gt;(I1210*2),((ROUNDDOWN(J1210/I1210,0))-1))</f>
        <v>3</v>
      </c>
    </row>
    <row r="1211" customFormat="false" ht="12.75" hidden="false" customHeight="false" outlineLevel="0" collapsed="false">
      <c r="A1211" s="5" t="n">
        <v>2136</v>
      </c>
      <c r="B1211" s="6" t="s">
        <v>361</v>
      </c>
      <c r="C1211" s="6" t="s">
        <v>12</v>
      </c>
      <c r="D1211" s="6" t="s">
        <v>362</v>
      </c>
      <c r="E1211" s="6" t="s">
        <v>14</v>
      </c>
      <c r="F1211" s="6" t="n">
        <v>191451.6932878</v>
      </c>
      <c r="G1211" s="6" t="n">
        <v>191452.299</v>
      </c>
      <c r="H1211" s="6" t="s">
        <v>792</v>
      </c>
      <c r="I1211" s="0" t="n">
        <v>0.4</v>
      </c>
      <c r="J1211" s="0" t="n">
        <f aca="false">CONVERT(G1211,"m^2","ha")</f>
        <v>19.1452299</v>
      </c>
      <c r="K1211" s="0" t="n">
        <f aca="false">IF(J1211&gt;(I1211*2),((ROUNDDOWN(J1211/I1211,0))-1))</f>
        <v>46</v>
      </c>
    </row>
    <row r="1212" customFormat="false" ht="12.75" hidden="false" customHeight="false" outlineLevel="0" collapsed="false">
      <c r="A1212" s="5" t="n">
        <v>2137</v>
      </c>
      <c r="B1212" s="6" t="s">
        <v>3211</v>
      </c>
      <c r="C1212" s="6" t="s">
        <v>12</v>
      </c>
      <c r="D1212" s="6" t="s">
        <v>3212</v>
      </c>
      <c r="E1212" s="6" t="s">
        <v>14</v>
      </c>
      <c r="F1212" s="6" t="n">
        <v>1026.69214541</v>
      </c>
      <c r="G1212" s="6" t="n">
        <v>1026.692</v>
      </c>
      <c r="H1212" s="6" t="s">
        <v>792</v>
      </c>
      <c r="I1212" s="0" t="n">
        <v>0.4</v>
      </c>
      <c r="J1212" s="0" t="n">
        <f aca="false">CONVERT(G1212,"m^2","ha")</f>
        <v>0.1026692</v>
      </c>
      <c r="K1212" s="0" t="b">
        <f aca="false">IF(J1212&gt;(I1212*2),((ROUNDDOWN(J1212/I1212,0))-1))</f>
        <v>0</v>
      </c>
    </row>
    <row r="1213" customFormat="false" ht="12.75" hidden="false" customHeight="false" outlineLevel="0" collapsed="false">
      <c r="A1213" s="5" t="n">
        <v>2138</v>
      </c>
      <c r="B1213" s="6" t="s">
        <v>3213</v>
      </c>
      <c r="C1213" s="6" t="s">
        <v>12</v>
      </c>
      <c r="D1213" s="6" t="s">
        <v>3214</v>
      </c>
      <c r="E1213" s="6" t="s">
        <v>14</v>
      </c>
      <c r="F1213" s="6" t="n">
        <v>998.36499319</v>
      </c>
      <c r="G1213" s="6" t="n">
        <v>998.365</v>
      </c>
      <c r="H1213" s="6" t="s">
        <v>792</v>
      </c>
      <c r="I1213" s="0" t="n">
        <v>0.4</v>
      </c>
      <c r="J1213" s="0" t="n">
        <f aca="false">CONVERT(G1213,"m^2","ha")</f>
        <v>0.0998365</v>
      </c>
      <c r="K1213" s="0" t="b">
        <f aca="false">IF(J1213&gt;(I1213*2),((ROUNDDOWN(J1213/I1213,0))-1))</f>
        <v>0</v>
      </c>
    </row>
    <row r="1214" customFormat="false" ht="12.75" hidden="false" customHeight="false" outlineLevel="0" collapsed="false">
      <c r="A1214" s="5" t="n">
        <v>2139</v>
      </c>
      <c r="B1214" s="6" t="s">
        <v>3215</v>
      </c>
      <c r="C1214" s="6" t="s">
        <v>12</v>
      </c>
      <c r="D1214" s="6" t="s">
        <v>3216</v>
      </c>
      <c r="E1214" s="6" t="s">
        <v>14</v>
      </c>
      <c r="F1214" s="6" t="n">
        <v>1076.56211074</v>
      </c>
      <c r="G1214" s="6" t="n">
        <v>1076.562</v>
      </c>
      <c r="H1214" s="6" t="s">
        <v>792</v>
      </c>
      <c r="I1214" s="0" t="n">
        <v>0.4</v>
      </c>
      <c r="J1214" s="0" t="n">
        <f aca="false">CONVERT(G1214,"m^2","ha")</f>
        <v>0.1076562</v>
      </c>
      <c r="K1214" s="0" t="b">
        <f aca="false">IF(J1214&gt;(I1214*2),((ROUNDDOWN(J1214/I1214,0))-1))</f>
        <v>0</v>
      </c>
    </row>
    <row r="1215" customFormat="false" ht="12.75" hidden="false" customHeight="false" outlineLevel="0" collapsed="false">
      <c r="A1215" s="5" t="n">
        <v>2140</v>
      </c>
      <c r="B1215" s="6" t="s">
        <v>3217</v>
      </c>
      <c r="C1215" s="6" t="s">
        <v>12</v>
      </c>
      <c r="D1215" s="6" t="s">
        <v>3218</v>
      </c>
      <c r="E1215" s="6" t="s">
        <v>14</v>
      </c>
      <c r="F1215" s="6" t="n">
        <v>1024.872080225</v>
      </c>
      <c r="G1215" s="6" t="n">
        <v>1024.872</v>
      </c>
      <c r="H1215" s="6" t="s">
        <v>792</v>
      </c>
      <c r="I1215" s="0" t="n">
        <v>0.4</v>
      </c>
      <c r="J1215" s="0" t="n">
        <f aca="false">CONVERT(G1215,"m^2","ha")</f>
        <v>0.1024872</v>
      </c>
      <c r="K1215" s="0" t="b">
        <f aca="false">IF(J1215&gt;(I1215*2),((ROUNDDOWN(J1215/I1215,0))-1))</f>
        <v>0</v>
      </c>
    </row>
    <row r="1216" customFormat="false" ht="12.75" hidden="false" customHeight="false" outlineLevel="0" collapsed="false">
      <c r="A1216" s="5" t="n">
        <v>2141</v>
      </c>
      <c r="B1216" s="6" t="s">
        <v>3219</v>
      </c>
      <c r="C1216" s="6" t="s">
        <v>12</v>
      </c>
      <c r="D1216" s="6" t="s">
        <v>3220</v>
      </c>
      <c r="E1216" s="6" t="s">
        <v>14</v>
      </c>
      <c r="F1216" s="6" t="n">
        <v>4057.521852145</v>
      </c>
      <c r="G1216" s="6" t="n">
        <v>4057.522</v>
      </c>
      <c r="H1216" s="6" t="s">
        <v>792</v>
      </c>
      <c r="I1216" s="0" t="n">
        <v>0.4</v>
      </c>
      <c r="J1216" s="0" t="n">
        <f aca="false">CONVERT(G1216,"m^2","ha")</f>
        <v>0.4057522</v>
      </c>
      <c r="K1216" s="0" t="b">
        <f aca="false">IF(J1216&gt;(I1216*2),((ROUNDDOWN(J1216/I1216,0))-1))</f>
        <v>0</v>
      </c>
    </row>
    <row r="1217" customFormat="false" ht="12.75" hidden="false" customHeight="false" outlineLevel="0" collapsed="false">
      <c r="A1217" s="5" t="n">
        <v>2142</v>
      </c>
      <c r="B1217" s="6" t="s">
        <v>3221</v>
      </c>
      <c r="C1217" s="6" t="s">
        <v>12</v>
      </c>
      <c r="D1217" s="6" t="s">
        <v>3222</v>
      </c>
      <c r="E1217" s="6" t="s">
        <v>14</v>
      </c>
      <c r="F1217" s="6" t="n">
        <v>1011.2799372</v>
      </c>
      <c r="G1217" s="6" t="n">
        <v>1011.28</v>
      </c>
      <c r="H1217" s="6" t="s">
        <v>792</v>
      </c>
      <c r="I1217" s="0" t="n">
        <v>0.4</v>
      </c>
      <c r="J1217" s="0" t="n">
        <f aca="false">CONVERT(G1217,"m^2","ha")</f>
        <v>0.101128</v>
      </c>
      <c r="K1217" s="0" t="b">
        <f aca="false">IF(J1217&gt;(I1217*2),((ROUNDDOWN(J1217/I1217,0))-1))</f>
        <v>0</v>
      </c>
    </row>
    <row r="1218" customFormat="false" ht="12.75" hidden="false" customHeight="false" outlineLevel="0" collapsed="false">
      <c r="A1218" s="5" t="n">
        <v>2143</v>
      </c>
      <c r="B1218" s="6" t="s">
        <v>3223</v>
      </c>
      <c r="C1218" s="6" t="s">
        <v>12</v>
      </c>
      <c r="D1218" s="6" t="s">
        <v>3224</v>
      </c>
      <c r="E1218" s="6" t="s">
        <v>14</v>
      </c>
      <c r="F1218" s="6" t="n">
        <v>1007.78249609</v>
      </c>
      <c r="G1218" s="6" t="n">
        <v>1007.782</v>
      </c>
      <c r="H1218" s="6" t="s">
        <v>792</v>
      </c>
      <c r="I1218" s="0" t="n">
        <v>0.4</v>
      </c>
      <c r="J1218" s="0" t="n">
        <f aca="false">CONVERT(G1218,"m^2","ha")</f>
        <v>0.1007782</v>
      </c>
      <c r="K1218" s="0" t="b">
        <f aca="false">IF(J1218&gt;(I1218*2),((ROUNDDOWN(J1218/I1218,0))-1))</f>
        <v>0</v>
      </c>
    </row>
    <row r="1219" customFormat="false" ht="12.75" hidden="false" customHeight="false" outlineLevel="0" collapsed="false">
      <c r="A1219" s="5" t="n">
        <v>2144</v>
      </c>
      <c r="B1219" s="6" t="s">
        <v>3225</v>
      </c>
      <c r="C1219" s="6" t="s">
        <v>12</v>
      </c>
      <c r="D1219" s="6" t="s">
        <v>3226</v>
      </c>
      <c r="E1219" s="6" t="s">
        <v>14</v>
      </c>
      <c r="F1219" s="6" t="n">
        <v>991.04028015</v>
      </c>
      <c r="G1219" s="6" t="n">
        <v>991.04</v>
      </c>
      <c r="H1219" s="6" t="s">
        <v>792</v>
      </c>
      <c r="I1219" s="0" t="n">
        <v>0.4</v>
      </c>
      <c r="J1219" s="0" t="n">
        <f aca="false">CONVERT(G1219,"m^2","ha")</f>
        <v>0.099104</v>
      </c>
      <c r="K1219" s="0" t="b">
        <f aca="false">IF(J1219&gt;(I1219*2),((ROUNDDOWN(J1219/I1219,0))-1))</f>
        <v>0</v>
      </c>
    </row>
    <row r="1220" customFormat="false" ht="12.75" hidden="false" customHeight="false" outlineLevel="0" collapsed="false">
      <c r="A1220" s="5" t="n">
        <v>2145</v>
      </c>
      <c r="B1220" s="6" t="s">
        <v>3227</v>
      </c>
      <c r="C1220" s="6" t="s">
        <v>12</v>
      </c>
      <c r="D1220" s="6" t="s">
        <v>3228</v>
      </c>
      <c r="E1220" s="6" t="s">
        <v>14</v>
      </c>
      <c r="F1220" s="6" t="n">
        <v>2002.73748886</v>
      </c>
      <c r="G1220" s="6" t="n">
        <v>2002.737</v>
      </c>
      <c r="H1220" s="6" t="s">
        <v>792</v>
      </c>
      <c r="I1220" s="0" t="n">
        <v>0.4</v>
      </c>
      <c r="J1220" s="0" t="n">
        <f aca="false">CONVERT(G1220,"m^2","ha")</f>
        <v>0.2002737</v>
      </c>
      <c r="K1220" s="0" t="b">
        <f aca="false">IF(J1220&gt;(I1220*2),((ROUNDDOWN(J1220/I1220,0))-1))</f>
        <v>0</v>
      </c>
    </row>
    <row r="1221" customFormat="false" ht="12.75" hidden="false" customHeight="false" outlineLevel="0" collapsed="false">
      <c r="A1221" s="5" t="n">
        <v>2158</v>
      </c>
      <c r="B1221" s="6" t="s">
        <v>3229</v>
      </c>
      <c r="C1221" s="6" t="s">
        <v>12</v>
      </c>
      <c r="D1221" s="6" t="s">
        <v>3230</v>
      </c>
      <c r="E1221" s="6" t="s">
        <v>14</v>
      </c>
      <c r="F1221" s="6" t="n">
        <v>10635.371490565</v>
      </c>
      <c r="G1221" s="6" t="n">
        <v>10635.371</v>
      </c>
      <c r="H1221" s="6" t="s">
        <v>792</v>
      </c>
      <c r="I1221" s="0" t="n">
        <v>0.4</v>
      </c>
      <c r="J1221" s="0" t="n">
        <f aca="false">CONVERT(G1221,"m^2","ha")</f>
        <v>1.0635371</v>
      </c>
      <c r="K1221" s="0" t="n">
        <f aca="false">IF(J1221&gt;(I1221*2),((ROUNDDOWN(J1221/I1221,0))-1))</f>
        <v>1</v>
      </c>
    </row>
    <row r="1222" customFormat="false" ht="12.75" hidden="false" customHeight="false" outlineLevel="0" collapsed="false">
      <c r="A1222" s="5" t="n">
        <v>2159</v>
      </c>
      <c r="B1222" s="6" t="s">
        <v>3231</v>
      </c>
      <c r="C1222" s="6" t="s">
        <v>12</v>
      </c>
      <c r="D1222" s="6" t="s">
        <v>3232</v>
      </c>
      <c r="E1222" s="6" t="s">
        <v>14</v>
      </c>
      <c r="F1222" s="6" t="n">
        <v>5396.31372495</v>
      </c>
      <c r="G1222" s="6" t="n">
        <v>5396.314</v>
      </c>
      <c r="H1222" s="6" t="s">
        <v>792</v>
      </c>
      <c r="I1222" s="0" t="n">
        <v>0.4</v>
      </c>
      <c r="J1222" s="0" t="n">
        <f aca="false">CONVERT(G1222,"m^2","ha")</f>
        <v>0.5396314</v>
      </c>
      <c r="K1222" s="0" t="b">
        <f aca="false">IF(J1222&gt;(I1222*2),((ROUNDDOWN(J1222/I1222,0))-1))</f>
        <v>0</v>
      </c>
    </row>
    <row r="1223" customFormat="false" ht="12.75" hidden="false" customHeight="false" outlineLevel="0" collapsed="false">
      <c r="A1223" s="5" t="n">
        <v>2163</v>
      </c>
      <c r="B1223" s="6" t="s">
        <v>3233</v>
      </c>
      <c r="C1223" s="6" t="s">
        <v>12</v>
      </c>
      <c r="D1223" s="6" t="s">
        <v>3234</v>
      </c>
      <c r="E1223" s="6" t="s">
        <v>14</v>
      </c>
      <c r="F1223" s="6" t="n">
        <v>2389.36943678</v>
      </c>
      <c r="G1223" s="6" t="n">
        <v>2389.837</v>
      </c>
      <c r="H1223" s="6" t="s">
        <v>792</v>
      </c>
      <c r="I1223" s="0" t="n">
        <v>0.4</v>
      </c>
      <c r="J1223" s="0" t="n">
        <f aca="false">CONVERT(G1223,"m^2","ha")</f>
        <v>0.2389837</v>
      </c>
      <c r="K1223" s="0" t="b">
        <f aca="false">IF(J1223&gt;(I1223*2),((ROUNDDOWN(J1223/I1223,0))-1))</f>
        <v>0</v>
      </c>
    </row>
    <row r="1224" customFormat="false" ht="12.75" hidden="false" customHeight="false" outlineLevel="0" collapsed="false">
      <c r="A1224" s="5" t="n">
        <v>2166</v>
      </c>
      <c r="B1224" s="6" t="s">
        <v>3235</v>
      </c>
      <c r="C1224" s="6" t="s">
        <v>12</v>
      </c>
      <c r="D1224" s="6" t="s">
        <v>3236</v>
      </c>
      <c r="E1224" s="6" t="s">
        <v>14</v>
      </c>
      <c r="F1224" s="6" t="n">
        <v>5071.795348335</v>
      </c>
      <c r="G1224" s="6" t="n">
        <v>5071.421</v>
      </c>
      <c r="H1224" s="6" t="s">
        <v>792</v>
      </c>
      <c r="I1224" s="0" t="n">
        <v>0.4</v>
      </c>
      <c r="J1224" s="0" t="n">
        <f aca="false">CONVERT(G1224,"m^2","ha")</f>
        <v>0.5071421</v>
      </c>
      <c r="K1224" s="0" t="b">
        <f aca="false">IF(J1224&gt;(I1224*2),((ROUNDDOWN(J1224/I1224,0))-1))</f>
        <v>0</v>
      </c>
    </row>
    <row r="1225" customFormat="false" ht="12.75" hidden="false" customHeight="false" outlineLevel="0" collapsed="false">
      <c r="A1225" s="5" t="n">
        <v>2169</v>
      </c>
      <c r="B1225" s="6" t="s">
        <v>3237</v>
      </c>
      <c r="C1225" s="6" t="s">
        <v>12</v>
      </c>
      <c r="D1225" s="6" t="s">
        <v>3238</v>
      </c>
      <c r="E1225" s="6" t="s">
        <v>14</v>
      </c>
      <c r="F1225" s="6" t="n">
        <v>748.644599405</v>
      </c>
      <c r="G1225" s="6" t="n">
        <v>748.368</v>
      </c>
      <c r="H1225" s="6" t="s">
        <v>792</v>
      </c>
      <c r="I1225" s="0" t="n">
        <v>0.4</v>
      </c>
      <c r="J1225" s="0" t="n">
        <f aca="false">CONVERT(G1225,"m^2","ha")</f>
        <v>0.0748368</v>
      </c>
      <c r="K1225" s="0" t="b">
        <f aca="false">IF(J1225&gt;(I1225*2),((ROUNDDOWN(J1225/I1225,0))-1))</f>
        <v>0</v>
      </c>
    </row>
    <row r="1226" customFormat="false" ht="12.75" hidden="false" customHeight="false" outlineLevel="0" collapsed="false">
      <c r="A1226" s="5" t="n">
        <v>2179</v>
      </c>
      <c r="B1226" s="6" t="s">
        <v>3239</v>
      </c>
      <c r="C1226" s="6" t="s">
        <v>12</v>
      </c>
      <c r="D1226" s="6" t="s">
        <v>3240</v>
      </c>
      <c r="E1226" s="6" t="s">
        <v>14</v>
      </c>
      <c r="F1226" s="6" t="n">
        <v>1067.449712825</v>
      </c>
      <c r="G1226" s="6" t="n">
        <v>1067.477</v>
      </c>
      <c r="H1226" s="6" t="s">
        <v>792</v>
      </c>
      <c r="I1226" s="0" t="n">
        <v>0.4</v>
      </c>
      <c r="J1226" s="0" t="n">
        <f aca="false">CONVERT(G1226,"m^2","ha")</f>
        <v>0.1067477</v>
      </c>
      <c r="K1226" s="0" t="b">
        <f aca="false">IF(J1226&gt;(I1226*2),((ROUNDDOWN(J1226/I1226,0))-1))</f>
        <v>0</v>
      </c>
    </row>
    <row r="1227" customFormat="false" ht="12.75" hidden="false" customHeight="false" outlineLevel="0" collapsed="false">
      <c r="A1227" s="5" t="n">
        <v>2189</v>
      </c>
      <c r="B1227" s="6" t="s">
        <v>3241</v>
      </c>
      <c r="C1227" s="6" t="s">
        <v>12</v>
      </c>
      <c r="D1227" s="6" t="s">
        <v>3242</v>
      </c>
      <c r="E1227" s="6" t="s">
        <v>14</v>
      </c>
      <c r="F1227" s="6" t="n">
        <v>1765.087663935</v>
      </c>
      <c r="G1227" s="6" t="n">
        <v>1765.088</v>
      </c>
      <c r="H1227" s="6" t="s">
        <v>792</v>
      </c>
      <c r="I1227" s="0" t="n">
        <v>0.4</v>
      </c>
      <c r="J1227" s="0" t="n">
        <f aca="false">CONVERT(G1227,"m^2","ha")</f>
        <v>0.1765088</v>
      </c>
      <c r="K1227" s="0" t="b">
        <f aca="false">IF(J1227&gt;(I1227*2),((ROUNDDOWN(J1227/I1227,0))-1))</f>
        <v>0</v>
      </c>
    </row>
    <row r="1228" customFormat="false" ht="12.75" hidden="false" customHeight="false" outlineLevel="0" collapsed="false">
      <c r="A1228" s="5" t="n">
        <v>2195</v>
      </c>
      <c r="B1228" s="6" t="s">
        <v>3243</v>
      </c>
      <c r="C1228" s="6" t="s">
        <v>12</v>
      </c>
      <c r="D1228" s="6" t="s">
        <v>3244</v>
      </c>
      <c r="E1228" s="6" t="s">
        <v>14</v>
      </c>
      <c r="F1228" s="6" t="n">
        <v>2472.24626927</v>
      </c>
      <c r="G1228" s="6" t="n">
        <v>2472.76</v>
      </c>
      <c r="H1228" s="6" t="s">
        <v>792</v>
      </c>
      <c r="I1228" s="0" t="n">
        <v>0.4</v>
      </c>
      <c r="J1228" s="0" t="n">
        <f aca="false">CONVERT(G1228,"m^2","ha")</f>
        <v>0.247276</v>
      </c>
      <c r="K1228" s="0" t="b">
        <f aca="false">IF(J1228&gt;(I1228*2),((ROUNDDOWN(J1228/I1228,0))-1))</f>
        <v>0</v>
      </c>
    </row>
    <row r="1229" customFormat="false" ht="12.75" hidden="false" customHeight="false" outlineLevel="0" collapsed="false">
      <c r="A1229" s="5" t="n">
        <v>2196</v>
      </c>
      <c r="B1229" s="6" t="s">
        <v>3245</v>
      </c>
      <c r="C1229" s="6" t="s">
        <v>12</v>
      </c>
      <c r="D1229" s="6" t="s">
        <v>3246</v>
      </c>
      <c r="E1229" s="6" t="s">
        <v>14</v>
      </c>
      <c r="F1229" s="6" t="n">
        <v>4063.047876385</v>
      </c>
      <c r="G1229" s="6" t="n">
        <v>4063.048</v>
      </c>
      <c r="H1229" s="6" t="s">
        <v>792</v>
      </c>
      <c r="I1229" s="0" t="n">
        <v>0.4</v>
      </c>
      <c r="J1229" s="0" t="n">
        <f aca="false">CONVERT(G1229,"m^2","ha")</f>
        <v>0.4063048</v>
      </c>
      <c r="K1229" s="0" t="b">
        <f aca="false">IF(J1229&gt;(I1229*2),((ROUNDDOWN(J1229/I1229,0))-1))</f>
        <v>0</v>
      </c>
    </row>
    <row r="1230" customFormat="false" ht="12.75" hidden="false" customHeight="false" outlineLevel="0" collapsed="false">
      <c r="A1230" s="5" t="n">
        <v>2199</v>
      </c>
      <c r="B1230" s="6" t="s">
        <v>3247</v>
      </c>
      <c r="C1230" s="6" t="s">
        <v>12</v>
      </c>
      <c r="D1230" s="6" t="s">
        <v>3248</v>
      </c>
      <c r="E1230" s="6" t="s">
        <v>14</v>
      </c>
      <c r="F1230" s="6" t="n">
        <v>4731.038451705</v>
      </c>
      <c r="G1230" s="6" t="n">
        <v>4731.038</v>
      </c>
      <c r="H1230" s="6" t="s">
        <v>792</v>
      </c>
      <c r="I1230" s="0" t="n">
        <v>0.4</v>
      </c>
      <c r="J1230" s="0" t="n">
        <f aca="false">CONVERT(G1230,"m^2","ha")</f>
        <v>0.4731038</v>
      </c>
      <c r="K1230" s="0" t="b">
        <f aca="false">IF(J1230&gt;(I1230*2),((ROUNDDOWN(J1230/I1230,0))-1))</f>
        <v>0</v>
      </c>
    </row>
    <row r="1231" customFormat="false" ht="12.75" hidden="false" customHeight="false" outlineLevel="0" collapsed="false">
      <c r="A1231" s="5" t="n">
        <v>2202</v>
      </c>
      <c r="B1231" s="6" t="s">
        <v>3249</v>
      </c>
      <c r="C1231" s="6" t="s">
        <v>12</v>
      </c>
      <c r="D1231" s="6" t="s">
        <v>3250</v>
      </c>
      <c r="E1231" s="6" t="s">
        <v>14</v>
      </c>
      <c r="F1231" s="6" t="n">
        <v>5730.13514491</v>
      </c>
      <c r="G1231" s="6" t="n">
        <v>5730.135</v>
      </c>
      <c r="H1231" s="6" t="s">
        <v>792</v>
      </c>
      <c r="I1231" s="0" t="n">
        <v>0.4</v>
      </c>
      <c r="J1231" s="0" t="n">
        <f aca="false">CONVERT(G1231,"m^2","ha")</f>
        <v>0.5730135</v>
      </c>
      <c r="K1231" s="0" t="b">
        <f aca="false">IF(J1231&gt;(I1231*2),((ROUNDDOWN(J1231/I1231,0))-1))</f>
        <v>0</v>
      </c>
    </row>
    <row r="1232" customFormat="false" ht="12.75" hidden="false" customHeight="false" outlineLevel="0" collapsed="false">
      <c r="A1232" s="5" t="n">
        <v>2203</v>
      </c>
      <c r="B1232" s="6" t="s">
        <v>3251</v>
      </c>
      <c r="C1232" s="6" t="s">
        <v>12</v>
      </c>
      <c r="D1232" s="6" t="s">
        <v>3252</v>
      </c>
      <c r="E1232" s="6" t="s">
        <v>14</v>
      </c>
      <c r="F1232" s="6" t="n">
        <v>8187.84624377</v>
      </c>
      <c r="G1232" s="6" t="n">
        <v>8187.846</v>
      </c>
      <c r="H1232" s="6" t="s">
        <v>792</v>
      </c>
      <c r="I1232" s="0" t="n">
        <v>0.4</v>
      </c>
      <c r="J1232" s="0" t="n">
        <f aca="false">CONVERT(G1232,"m^2","ha")</f>
        <v>0.8187846</v>
      </c>
      <c r="K1232" s="0" t="n">
        <f aca="false">IF(J1232&gt;(I1232*2),((ROUNDDOWN(J1232/I1232,0))-1))</f>
        <v>1</v>
      </c>
    </row>
    <row r="1233" customFormat="false" ht="12.75" hidden="false" customHeight="false" outlineLevel="0" collapsed="false">
      <c r="A1233" s="5" t="n">
        <v>2205</v>
      </c>
      <c r="B1233" s="6" t="s">
        <v>3253</v>
      </c>
      <c r="C1233" s="6" t="s">
        <v>12</v>
      </c>
      <c r="D1233" s="6" t="s">
        <v>3254</v>
      </c>
      <c r="E1233" s="6" t="s">
        <v>14</v>
      </c>
      <c r="F1233" s="6" t="n">
        <v>24283.59582847</v>
      </c>
      <c r="G1233" s="6" t="n">
        <v>24283.596</v>
      </c>
      <c r="H1233" s="6" t="s">
        <v>792</v>
      </c>
      <c r="I1233" s="0" t="n">
        <v>0.4</v>
      </c>
      <c r="J1233" s="0" t="n">
        <f aca="false">CONVERT(G1233,"m^2","ha")</f>
        <v>2.4283596</v>
      </c>
      <c r="K1233" s="0" t="n">
        <f aca="false">IF(J1233&gt;(I1233*2),((ROUNDDOWN(J1233/I1233,0))-1))</f>
        <v>5</v>
      </c>
    </row>
    <row r="1234" customFormat="false" ht="12.75" hidden="false" customHeight="false" outlineLevel="0" collapsed="false">
      <c r="A1234" s="5" t="n">
        <v>2206</v>
      </c>
      <c r="B1234" s="6" t="s">
        <v>3255</v>
      </c>
      <c r="C1234" s="6" t="s">
        <v>12</v>
      </c>
      <c r="D1234" s="6" t="s">
        <v>3256</v>
      </c>
      <c r="E1234" s="6" t="s">
        <v>14</v>
      </c>
      <c r="F1234" s="6" t="n">
        <v>1877.64812878</v>
      </c>
      <c r="G1234" s="6" t="n">
        <v>1877.648</v>
      </c>
      <c r="H1234" s="6" t="s">
        <v>792</v>
      </c>
      <c r="I1234" s="0" t="n">
        <v>0.4</v>
      </c>
      <c r="J1234" s="0" t="n">
        <f aca="false">CONVERT(G1234,"m^2","ha")</f>
        <v>0.1877648</v>
      </c>
      <c r="K1234" s="0" t="b">
        <f aca="false">IF(J1234&gt;(I1234*2),((ROUNDDOWN(J1234/I1234,0))-1))</f>
        <v>0</v>
      </c>
    </row>
    <row r="1235" customFormat="false" ht="12.75" hidden="false" customHeight="false" outlineLevel="0" collapsed="false">
      <c r="A1235" s="5" t="n">
        <v>2208</v>
      </c>
      <c r="B1235" s="6" t="s">
        <v>3257</v>
      </c>
      <c r="C1235" s="6" t="s">
        <v>12</v>
      </c>
      <c r="D1235" s="6" t="s">
        <v>3258</v>
      </c>
      <c r="E1235" s="6" t="s">
        <v>14</v>
      </c>
      <c r="F1235" s="6" t="n">
        <v>2997.8227079</v>
      </c>
      <c r="G1235" s="6" t="n">
        <v>2997.823</v>
      </c>
      <c r="H1235" s="6" t="s">
        <v>792</v>
      </c>
      <c r="I1235" s="0" t="n">
        <v>0.4</v>
      </c>
      <c r="J1235" s="0" t="n">
        <f aca="false">CONVERT(G1235,"m^2","ha")</f>
        <v>0.2997823</v>
      </c>
      <c r="K1235" s="0" t="b">
        <f aca="false">IF(J1235&gt;(I1235*2),((ROUNDDOWN(J1235/I1235,0))-1))</f>
        <v>0</v>
      </c>
    </row>
    <row r="1236" customFormat="false" ht="12.75" hidden="false" customHeight="false" outlineLevel="0" collapsed="false">
      <c r="A1236" s="5" t="n">
        <v>2211</v>
      </c>
      <c r="B1236" s="6" t="s">
        <v>3259</v>
      </c>
      <c r="C1236" s="6" t="s">
        <v>12</v>
      </c>
      <c r="D1236" s="6" t="s">
        <v>3260</v>
      </c>
      <c r="E1236" s="6" t="s">
        <v>14</v>
      </c>
      <c r="F1236" s="6" t="n">
        <v>8645.0838812</v>
      </c>
      <c r="G1236" s="6" t="n">
        <v>8645.084</v>
      </c>
      <c r="H1236" s="6" t="s">
        <v>792</v>
      </c>
      <c r="I1236" s="0" t="n">
        <v>0.4</v>
      </c>
      <c r="J1236" s="0" t="n">
        <f aca="false">CONVERT(G1236,"m^2","ha")</f>
        <v>0.8645084</v>
      </c>
      <c r="K1236" s="0" t="n">
        <f aca="false">IF(J1236&gt;(I1236*2),((ROUNDDOWN(J1236/I1236,0))-1))</f>
        <v>1</v>
      </c>
    </row>
    <row r="1237" customFormat="false" ht="12.75" hidden="false" customHeight="false" outlineLevel="0" collapsed="false">
      <c r="A1237" s="5" t="n">
        <v>2212</v>
      </c>
      <c r="B1237" s="6" t="s">
        <v>3261</v>
      </c>
      <c r="C1237" s="6" t="s">
        <v>12</v>
      </c>
      <c r="D1237" s="6" t="s">
        <v>3262</v>
      </c>
      <c r="E1237" s="6" t="s">
        <v>14</v>
      </c>
      <c r="F1237" s="6" t="n">
        <v>1868.92374178</v>
      </c>
      <c r="G1237" s="6" t="n">
        <v>1868.924</v>
      </c>
      <c r="H1237" s="6" t="s">
        <v>792</v>
      </c>
      <c r="I1237" s="0" t="n">
        <v>0.4</v>
      </c>
      <c r="J1237" s="0" t="n">
        <f aca="false">CONVERT(G1237,"m^2","ha")</f>
        <v>0.1868924</v>
      </c>
      <c r="K1237" s="0" t="b">
        <f aca="false">IF(J1237&gt;(I1237*2),((ROUNDDOWN(J1237/I1237,0))-1))</f>
        <v>0</v>
      </c>
    </row>
    <row r="1238" customFormat="false" ht="12.75" hidden="false" customHeight="false" outlineLevel="0" collapsed="false">
      <c r="A1238" s="5" t="n">
        <v>2215</v>
      </c>
      <c r="B1238" s="6" t="s">
        <v>3263</v>
      </c>
      <c r="C1238" s="6" t="s">
        <v>12</v>
      </c>
      <c r="D1238" s="6" t="s">
        <v>3264</v>
      </c>
      <c r="E1238" s="6" t="s">
        <v>14</v>
      </c>
      <c r="F1238" s="6" t="n">
        <v>857.578178885</v>
      </c>
      <c r="G1238" s="6" t="n">
        <v>857.578</v>
      </c>
      <c r="H1238" s="6" t="s">
        <v>792</v>
      </c>
      <c r="I1238" s="0" t="n">
        <v>0.4</v>
      </c>
      <c r="J1238" s="0" t="n">
        <f aca="false">CONVERT(G1238,"m^2","ha")</f>
        <v>0.0857578</v>
      </c>
      <c r="K1238" s="0" t="b">
        <f aca="false">IF(J1238&gt;(I1238*2),((ROUNDDOWN(J1238/I1238,0))-1))</f>
        <v>0</v>
      </c>
    </row>
    <row r="1239" customFormat="false" ht="12.75" hidden="false" customHeight="false" outlineLevel="0" collapsed="false">
      <c r="A1239" s="5" t="n">
        <v>2218</v>
      </c>
      <c r="B1239" s="6" t="s">
        <v>3265</v>
      </c>
      <c r="C1239" s="6" t="s">
        <v>12</v>
      </c>
      <c r="D1239" s="6" t="s">
        <v>3266</v>
      </c>
      <c r="E1239" s="6" t="s">
        <v>14</v>
      </c>
      <c r="F1239" s="6" t="n">
        <v>911.42689624</v>
      </c>
      <c r="G1239" s="6" t="n">
        <v>911.427</v>
      </c>
      <c r="H1239" s="6" t="s">
        <v>792</v>
      </c>
      <c r="I1239" s="0" t="n">
        <v>0.4</v>
      </c>
      <c r="J1239" s="0" t="n">
        <f aca="false">CONVERT(G1239,"m^2","ha")</f>
        <v>0.0911427</v>
      </c>
      <c r="K1239" s="0" t="b">
        <f aca="false">IF(J1239&gt;(I1239*2),((ROUNDDOWN(J1239/I1239,0))-1))</f>
        <v>0</v>
      </c>
    </row>
    <row r="1240" customFormat="false" ht="12.75" hidden="false" customHeight="false" outlineLevel="0" collapsed="false">
      <c r="A1240" s="5" t="n">
        <v>2224</v>
      </c>
      <c r="B1240" s="6" t="s">
        <v>3267</v>
      </c>
      <c r="C1240" s="6" t="s">
        <v>12</v>
      </c>
      <c r="D1240" s="6" t="s">
        <v>3268</v>
      </c>
      <c r="E1240" s="6" t="s">
        <v>14</v>
      </c>
      <c r="F1240" s="6" t="n">
        <v>1331.38383659</v>
      </c>
      <c r="G1240" s="6" t="n">
        <v>1331.735</v>
      </c>
      <c r="H1240" s="6" t="s">
        <v>792</v>
      </c>
      <c r="I1240" s="0" t="n">
        <v>0.4</v>
      </c>
      <c r="J1240" s="0" t="n">
        <f aca="false">CONVERT(G1240,"m^2","ha")</f>
        <v>0.1331735</v>
      </c>
      <c r="K1240" s="0" t="b">
        <f aca="false">IF(J1240&gt;(I1240*2),((ROUNDDOWN(J1240/I1240,0))-1))</f>
        <v>0</v>
      </c>
    </row>
    <row r="1241" customFormat="false" ht="12.75" hidden="false" customHeight="false" outlineLevel="0" collapsed="false">
      <c r="A1241" s="5" t="n">
        <v>2227</v>
      </c>
      <c r="B1241" s="6" t="s">
        <v>3269</v>
      </c>
      <c r="C1241" s="6" t="s">
        <v>12</v>
      </c>
      <c r="D1241" s="6" t="s">
        <v>3270</v>
      </c>
      <c r="E1241" s="6" t="s">
        <v>14</v>
      </c>
      <c r="F1241" s="6" t="n">
        <v>643.84474755</v>
      </c>
      <c r="G1241" s="6" t="n">
        <v>643.845</v>
      </c>
      <c r="H1241" s="6" t="s">
        <v>792</v>
      </c>
      <c r="I1241" s="0" t="n">
        <v>0.4</v>
      </c>
      <c r="J1241" s="0" t="n">
        <f aca="false">CONVERT(G1241,"m^2","ha")</f>
        <v>0.0643845</v>
      </c>
      <c r="K1241" s="0" t="b">
        <f aca="false">IF(J1241&gt;(I1241*2),((ROUNDDOWN(J1241/I1241,0))-1))</f>
        <v>0</v>
      </c>
    </row>
    <row r="1242" customFormat="false" ht="12.75" hidden="false" customHeight="false" outlineLevel="0" collapsed="false">
      <c r="A1242" s="5" t="n">
        <v>2228</v>
      </c>
      <c r="B1242" s="6" t="s">
        <v>3271</v>
      </c>
      <c r="C1242" s="6" t="s">
        <v>12</v>
      </c>
      <c r="D1242" s="6" t="s">
        <v>3272</v>
      </c>
      <c r="E1242" s="6" t="s">
        <v>14</v>
      </c>
      <c r="F1242" s="6" t="n">
        <v>3730.145740365</v>
      </c>
      <c r="G1242" s="6" t="n">
        <v>3730.146</v>
      </c>
      <c r="H1242" s="6" t="s">
        <v>792</v>
      </c>
      <c r="I1242" s="0" t="n">
        <v>0.4</v>
      </c>
      <c r="J1242" s="0" t="n">
        <f aca="false">CONVERT(G1242,"m^2","ha")</f>
        <v>0.3730146</v>
      </c>
      <c r="K1242" s="0" t="b">
        <f aca="false">IF(J1242&gt;(I1242*2),((ROUNDDOWN(J1242/I1242,0))-1))</f>
        <v>0</v>
      </c>
    </row>
    <row r="1243" customFormat="false" ht="12.75" hidden="false" customHeight="false" outlineLevel="0" collapsed="false">
      <c r="A1243" s="5" t="n">
        <v>2229</v>
      </c>
      <c r="B1243" s="6" t="s">
        <v>3273</v>
      </c>
      <c r="C1243" s="6" t="s">
        <v>12</v>
      </c>
      <c r="D1243" s="6" t="s">
        <v>3274</v>
      </c>
      <c r="E1243" s="6" t="s">
        <v>14</v>
      </c>
      <c r="F1243" s="6" t="n">
        <v>8602.554596075</v>
      </c>
      <c r="G1243" s="6" t="n">
        <v>8602.772</v>
      </c>
      <c r="H1243" s="6" t="s">
        <v>792</v>
      </c>
      <c r="I1243" s="0" t="n">
        <v>0.4</v>
      </c>
      <c r="J1243" s="0" t="n">
        <f aca="false">CONVERT(G1243,"m^2","ha")</f>
        <v>0.8602772</v>
      </c>
      <c r="K1243" s="0" t="n">
        <f aca="false">IF(J1243&gt;(I1243*2),((ROUNDDOWN(J1243/I1243,0))-1))</f>
        <v>1</v>
      </c>
    </row>
    <row r="1244" customFormat="false" ht="12.75" hidden="false" customHeight="false" outlineLevel="0" collapsed="false">
      <c r="A1244" s="5" t="n">
        <v>2230</v>
      </c>
      <c r="B1244" s="6" t="s">
        <v>3275</v>
      </c>
      <c r="C1244" s="6" t="s">
        <v>12</v>
      </c>
      <c r="D1244" s="6" t="s">
        <v>3276</v>
      </c>
      <c r="E1244" s="6" t="s">
        <v>14</v>
      </c>
      <c r="F1244" s="6" t="n">
        <v>9971.66857144</v>
      </c>
      <c r="G1244" s="6" t="n">
        <v>9971.835</v>
      </c>
      <c r="H1244" s="6" t="s">
        <v>792</v>
      </c>
      <c r="I1244" s="0" t="n">
        <v>0.4</v>
      </c>
      <c r="J1244" s="0" t="n">
        <f aca="false">CONVERT(G1244,"m^2","ha")</f>
        <v>0.9971835</v>
      </c>
      <c r="K1244" s="0" t="n">
        <f aca="false">IF(J1244&gt;(I1244*2),((ROUNDDOWN(J1244/I1244,0))-1))</f>
        <v>1</v>
      </c>
    </row>
    <row r="1245" customFormat="false" ht="12.75" hidden="false" customHeight="false" outlineLevel="0" collapsed="false">
      <c r="A1245" s="5" t="n">
        <v>2231</v>
      </c>
      <c r="B1245" s="6" t="s">
        <v>3277</v>
      </c>
      <c r="C1245" s="6" t="s">
        <v>12</v>
      </c>
      <c r="D1245" s="6" t="s">
        <v>3278</v>
      </c>
      <c r="E1245" s="6" t="s">
        <v>14</v>
      </c>
      <c r="F1245" s="6" t="n">
        <v>8913.603713125</v>
      </c>
      <c r="G1245" s="6" t="n">
        <v>8913.604</v>
      </c>
      <c r="H1245" s="6" t="s">
        <v>792</v>
      </c>
      <c r="I1245" s="0" t="n">
        <v>0.4</v>
      </c>
      <c r="J1245" s="0" t="n">
        <f aca="false">CONVERT(G1245,"m^2","ha")</f>
        <v>0.8913604</v>
      </c>
      <c r="K1245" s="0" t="n">
        <f aca="false">IF(J1245&gt;(I1245*2),((ROUNDDOWN(J1245/I1245,0))-1))</f>
        <v>1</v>
      </c>
    </row>
    <row r="1246" customFormat="false" ht="12.75" hidden="false" customHeight="false" outlineLevel="0" collapsed="false">
      <c r="A1246" s="5" t="n">
        <v>2233</v>
      </c>
      <c r="B1246" s="6" t="s">
        <v>3279</v>
      </c>
      <c r="C1246" s="6" t="s">
        <v>12</v>
      </c>
      <c r="D1246" s="6" t="s">
        <v>3280</v>
      </c>
      <c r="E1246" s="6" t="s">
        <v>14</v>
      </c>
      <c r="F1246" s="6" t="n">
        <v>2365.437994365</v>
      </c>
      <c r="G1246" s="6" t="n">
        <v>2365.035</v>
      </c>
      <c r="H1246" s="6" t="s">
        <v>792</v>
      </c>
      <c r="I1246" s="0" t="n">
        <v>0.4</v>
      </c>
      <c r="J1246" s="0" t="n">
        <f aca="false">CONVERT(G1246,"m^2","ha")</f>
        <v>0.2365035</v>
      </c>
      <c r="K1246" s="0" t="b">
        <f aca="false">IF(J1246&gt;(I1246*2),((ROUNDDOWN(J1246/I1246,0))-1))</f>
        <v>0</v>
      </c>
    </row>
    <row r="1247" customFormat="false" ht="12.75" hidden="false" customHeight="false" outlineLevel="0" collapsed="false">
      <c r="A1247" s="5" t="n">
        <v>2234</v>
      </c>
      <c r="B1247" s="6" t="s">
        <v>3281</v>
      </c>
      <c r="C1247" s="6" t="s">
        <v>12</v>
      </c>
      <c r="D1247" s="6" t="s">
        <v>3282</v>
      </c>
      <c r="E1247" s="6" t="s">
        <v>14</v>
      </c>
      <c r="F1247" s="6" t="n">
        <v>659.71376388</v>
      </c>
      <c r="G1247" s="6" t="n">
        <v>659.714</v>
      </c>
      <c r="H1247" s="6" t="s">
        <v>792</v>
      </c>
      <c r="I1247" s="0" t="n">
        <v>0.4</v>
      </c>
      <c r="J1247" s="0" t="n">
        <f aca="false">CONVERT(G1247,"m^2","ha")</f>
        <v>0.0659714</v>
      </c>
      <c r="K1247" s="0" t="b">
        <f aca="false">IF(J1247&gt;(I1247*2),((ROUNDDOWN(J1247/I1247,0))-1))</f>
        <v>0</v>
      </c>
    </row>
    <row r="1248" customFormat="false" ht="12.75" hidden="false" customHeight="false" outlineLevel="0" collapsed="false">
      <c r="A1248" s="5" t="n">
        <v>2236</v>
      </c>
      <c r="B1248" s="6" t="s">
        <v>3283</v>
      </c>
      <c r="C1248" s="6" t="s">
        <v>12</v>
      </c>
      <c r="D1248" s="6" t="s">
        <v>3284</v>
      </c>
      <c r="E1248" s="6" t="s">
        <v>14</v>
      </c>
      <c r="F1248" s="6" t="n">
        <v>1980.826247815</v>
      </c>
      <c r="G1248" s="6" t="n">
        <v>1980.931</v>
      </c>
      <c r="H1248" s="6" t="s">
        <v>792</v>
      </c>
      <c r="I1248" s="0" t="n">
        <v>0.4</v>
      </c>
      <c r="J1248" s="0" t="n">
        <f aca="false">CONVERT(G1248,"m^2","ha")</f>
        <v>0.1980931</v>
      </c>
      <c r="K1248" s="0" t="b">
        <f aca="false">IF(J1248&gt;(I1248*2),((ROUNDDOWN(J1248/I1248,0))-1))</f>
        <v>0</v>
      </c>
    </row>
    <row r="1249" customFormat="false" ht="12.75" hidden="false" customHeight="false" outlineLevel="0" collapsed="false">
      <c r="A1249" s="5" t="n">
        <v>2237</v>
      </c>
      <c r="B1249" s="6" t="s">
        <v>3285</v>
      </c>
      <c r="C1249" s="6" t="s">
        <v>12</v>
      </c>
      <c r="D1249" s="6" t="s">
        <v>3286</v>
      </c>
      <c r="E1249" s="6" t="s">
        <v>14</v>
      </c>
      <c r="F1249" s="6" t="n">
        <v>29482.509295195</v>
      </c>
      <c r="G1249" s="6" t="n">
        <v>29482.509</v>
      </c>
      <c r="H1249" s="6" t="s">
        <v>792</v>
      </c>
      <c r="I1249" s="0" t="n">
        <v>0.4</v>
      </c>
      <c r="J1249" s="0" t="n">
        <f aca="false">CONVERT(G1249,"m^2","ha")</f>
        <v>2.9482509</v>
      </c>
      <c r="K1249" s="0" t="n">
        <f aca="false">IF(J1249&gt;(I1249*2),((ROUNDDOWN(J1249/I1249,0))-1))</f>
        <v>6</v>
      </c>
    </row>
    <row r="1250" customFormat="false" ht="12.75" hidden="false" customHeight="false" outlineLevel="0" collapsed="false">
      <c r="A1250" s="5" t="n">
        <v>2238</v>
      </c>
      <c r="B1250" s="6" t="s">
        <v>3287</v>
      </c>
      <c r="C1250" s="6" t="s">
        <v>12</v>
      </c>
      <c r="D1250" s="6" t="s">
        <v>3288</v>
      </c>
      <c r="E1250" s="6" t="s">
        <v>14</v>
      </c>
      <c r="F1250" s="6" t="n">
        <v>3352.12346733</v>
      </c>
      <c r="G1250" s="6" t="n">
        <v>3351.565</v>
      </c>
      <c r="H1250" s="6" t="s">
        <v>792</v>
      </c>
      <c r="I1250" s="0" t="n">
        <v>0.4</v>
      </c>
      <c r="J1250" s="0" t="n">
        <f aca="false">CONVERT(G1250,"m^2","ha")</f>
        <v>0.3351565</v>
      </c>
      <c r="K1250" s="0" t="b">
        <f aca="false">IF(J1250&gt;(I1250*2),((ROUNDDOWN(J1250/I1250,0))-1))</f>
        <v>0</v>
      </c>
    </row>
    <row r="1251" customFormat="false" ht="12.75" hidden="false" customHeight="false" outlineLevel="0" collapsed="false">
      <c r="A1251" s="5" t="n">
        <v>2239</v>
      </c>
      <c r="B1251" s="6" t="s">
        <v>3289</v>
      </c>
      <c r="C1251" s="6" t="s">
        <v>12</v>
      </c>
      <c r="D1251" s="6" t="s">
        <v>3290</v>
      </c>
      <c r="E1251" s="6" t="s">
        <v>14</v>
      </c>
      <c r="F1251" s="6" t="n">
        <v>9722.342628335</v>
      </c>
      <c r="G1251" s="6" t="n">
        <v>9722.343</v>
      </c>
      <c r="H1251" s="6" t="s">
        <v>792</v>
      </c>
      <c r="I1251" s="0" t="n">
        <v>0.4</v>
      </c>
      <c r="J1251" s="0" t="n">
        <f aca="false">CONVERT(G1251,"m^2","ha")</f>
        <v>0.9722343</v>
      </c>
      <c r="K1251" s="0" t="n">
        <f aca="false">IF(J1251&gt;(I1251*2),((ROUNDDOWN(J1251/I1251,0))-1))</f>
        <v>1</v>
      </c>
    </row>
    <row r="1252" customFormat="false" ht="12.75" hidden="false" customHeight="false" outlineLevel="0" collapsed="false">
      <c r="A1252" s="5" t="n">
        <v>2241</v>
      </c>
      <c r="B1252" s="6" t="s">
        <v>3291</v>
      </c>
      <c r="C1252" s="6" t="s">
        <v>12</v>
      </c>
      <c r="D1252" s="6" t="s">
        <v>3292</v>
      </c>
      <c r="E1252" s="6" t="s">
        <v>14</v>
      </c>
      <c r="F1252" s="6" t="n">
        <v>935.93317379</v>
      </c>
      <c r="G1252" s="6" t="n">
        <v>935.933</v>
      </c>
      <c r="H1252" s="6" t="s">
        <v>792</v>
      </c>
      <c r="I1252" s="0" t="n">
        <v>0.4</v>
      </c>
      <c r="J1252" s="0" t="n">
        <f aca="false">CONVERT(G1252,"m^2","ha")</f>
        <v>0.0935933</v>
      </c>
      <c r="K1252" s="0" t="b">
        <f aca="false">IF(J1252&gt;(I1252*2),((ROUNDDOWN(J1252/I1252,0))-1))</f>
        <v>0</v>
      </c>
    </row>
    <row r="1253" customFormat="false" ht="12.75" hidden="false" customHeight="false" outlineLevel="0" collapsed="false">
      <c r="A1253" s="5" t="n">
        <v>2243</v>
      </c>
      <c r="B1253" s="6" t="s">
        <v>3293</v>
      </c>
      <c r="C1253" s="6" t="s">
        <v>12</v>
      </c>
      <c r="D1253" s="6" t="s">
        <v>3294</v>
      </c>
      <c r="E1253" s="6" t="s">
        <v>14</v>
      </c>
      <c r="F1253" s="6" t="n">
        <v>4677.200798295</v>
      </c>
      <c r="G1253" s="6" t="n">
        <v>4677.518</v>
      </c>
      <c r="H1253" s="6" t="s">
        <v>792</v>
      </c>
      <c r="I1253" s="0" t="n">
        <v>0.4</v>
      </c>
      <c r="J1253" s="0" t="n">
        <f aca="false">CONVERT(G1253,"m^2","ha")</f>
        <v>0.4677518</v>
      </c>
      <c r="K1253" s="0" t="b">
        <f aca="false">IF(J1253&gt;(I1253*2),((ROUNDDOWN(J1253/I1253,0))-1))</f>
        <v>0</v>
      </c>
    </row>
    <row r="1254" customFormat="false" ht="12.75" hidden="false" customHeight="false" outlineLevel="0" collapsed="false">
      <c r="A1254" s="5" t="n">
        <v>2245</v>
      </c>
      <c r="B1254" s="6" t="s">
        <v>3295</v>
      </c>
      <c r="C1254" s="6" t="s">
        <v>12</v>
      </c>
      <c r="D1254" s="6" t="s">
        <v>3296</v>
      </c>
      <c r="E1254" s="6" t="s">
        <v>14</v>
      </c>
      <c r="F1254" s="6" t="n">
        <v>2018.833474175</v>
      </c>
      <c r="G1254" s="6" t="n">
        <v>2018.833</v>
      </c>
      <c r="H1254" s="6" t="s">
        <v>792</v>
      </c>
      <c r="I1254" s="0" t="n">
        <v>0.4</v>
      </c>
      <c r="J1254" s="0" t="n">
        <f aca="false">CONVERT(G1254,"m^2","ha")</f>
        <v>0.2018833</v>
      </c>
      <c r="K1254" s="0" t="b">
        <f aca="false">IF(J1254&gt;(I1254*2),((ROUNDDOWN(J1254/I1254,0))-1))</f>
        <v>0</v>
      </c>
    </row>
    <row r="1255" customFormat="false" ht="12.75" hidden="false" customHeight="false" outlineLevel="0" collapsed="false">
      <c r="A1255" s="5" t="n">
        <v>2246</v>
      </c>
      <c r="B1255" s="6" t="s">
        <v>3297</v>
      </c>
      <c r="C1255" s="6" t="s">
        <v>12</v>
      </c>
      <c r="D1255" s="6" t="s">
        <v>3298</v>
      </c>
      <c r="E1255" s="6" t="s">
        <v>2733</v>
      </c>
      <c r="F1255" s="6" t="n">
        <v>1731.246385085</v>
      </c>
      <c r="G1255" s="6" t="n">
        <v>1730.787</v>
      </c>
      <c r="H1255" s="6" t="s">
        <v>792</v>
      </c>
      <c r="I1255" s="0" t="n">
        <v>0.4</v>
      </c>
      <c r="J1255" s="0" t="n">
        <f aca="false">CONVERT(G1255,"m^2","ha")</f>
        <v>0.1730787</v>
      </c>
      <c r="K1255" s="0" t="b">
        <f aca="false">IF(J1255&gt;(I1255*2),((ROUNDDOWN(J1255/I1255,0))-1))</f>
        <v>0</v>
      </c>
    </row>
    <row r="1256" customFormat="false" ht="12.75" hidden="false" customHeight="false" outlineLevel="0" collapsed="false">
      <c r="A1256" s="5" t="n">
        <v>2248</v>
      </c>
      <c r="B1256" s="6" t="s">
        <v>3299</v>
      </c>
      <c r="C1256" s="6" t="s">
        <v>12</v>
      </c>
      <c r="D1256" s="6" t="s">
        <v>3300</v>
      </c>
      <c r="E1256" s="6" t="s">
        <v>14</v>
      </c>
      <c r="F1256" s="6" t="n">
        <v>4962.065115065</v>
      </c>
      <c r="G1256" s="6" t="n">
        <v>4962.684</v>
      </c>
      <c r="H1256" s="6" t="s">
        <v>792</v>
      </c>
      <c r="I1256" s="0" t="n">
        <v>0.4</v>
      </c>
      <c r="J1256" s="0" t="n">
        <f aca="false">CONVERT(G1256,"m^2","ha")</f>
        <v>0.4962684</v>
      </c>
      <c r="K1256" s="0" t="b">
        <f aca="false">IF(J1256&gt;(I1256*2),((ROUNDDOWN(J1256/I1256,0))-1))</f>
        <v>0</v>
      </c>
    </row>
    <row r="1257" customFormat="false" ht="12.75" hidden="false" customHeight="false" outlineLevel="0" collapsed="false">
      <c r="A1257" s="5" t="n">
        <v>2250</v>
      </c>
      <c r="B1257" s="6" t="s">
        <v>3301</v>
      </c>
      <c r="C1257" s="6" t="s">
        <v>12</v>
      </c>
      <c r="D1257" s="6" t="s">
        <v>3302</v>
      </c>
      <c r="E1257" s="6" t="s">
        <v>14</v>
      </c>
      <c r="F1257" s="6" t="n">
        <v>905.5537655</v>
      </c>
      <c r="G1257" s="6" t="n">
        <v>905.554</v>
      </c>
      <c r="H1257" s="6" t="s">
        <v>792</v>
      </c>
      <c r="I1257" s="0" t="n">
        <v>0.4</v>
      </c>
      <c r="J1257" s="0" t="n">
        <f aca="false">CONVERT(G1257,"m^2","ha")</f>
        <v>0.0905554</v>
      </c>
      <c r="K1257" s="0" t="b">
        <f aca="false">IF(J1257&gt;(I1257*2),((ROUNDDOWN(J1257/I1257,0))-1))</f>
        <v>0</v>
      </c>
    </row>
    <row r="1258" customFormat="false" ht="12.75" hidden="false" customHeight="false" outlineLevel="0" collapsed="false">
      <c r="A1258" s="5" t="n">
        <v>2252</v>
      </c>
      <c r="B1258" s="6" t="s">
        <v>3303</v>
      </c>
      <c r="C1258" s="6" t="s">
        <v>12</v>
      </c>
      <c r="D1258" s="6" t="s">
        <v>3304</v>
      </c>
      <c r="E1258" s="6" t="s">
        <v>14</v>
      </c>
      <c r="F1258" s="6" t="n">
        <v>798.911815935</v>
      </c>
      <c r="G1258" s="6" t="n">
        <v>798.912</v>
      </c>
      <c r="H1258" s="6" t="s">
        <v>792</v>
      </c>
      <c r="I1258" s="0" t="n">
        <v>0.4</v>
      </c>
      <c r="J1258" s="0" t="n">
        <f aca="false">CONVERT(G1258,"m^2","ha")</f>
        <v>0.0798912</v>
      </c>
      <c r="K1258" s="0" t="b">
        <f aca="false">IF(J1258&gt;(I1258*2),((ROUNDDOWN(J1258/I1258,0))-1))</f>
        <v>0</v>
      </c>
    </row>
    <row r="1259" customFormat="false" ht="12.75" hidden="false" customHeight="false" outlineLevel="0" collapsed="false">
      <c r="A1259" s="5" t="n">
        <v>2254</v>
      </c>
      <c r="B1259" s="6" t="s">
        <v>3305</v>
      </c>
      <c r="C1259" s="6" t="s">
        <v>12</v>
      </c>
      <c r="D1259" s="6" t="s">
        <v>3306</v>
      </c>
      <c r="E1259" s="6" t="s">
        <v>14</v>
      </c>
      <c r="F1259" s="6" t="n">
        <v>857.696699015</v>
      </c>
      <c r="G1259" s="6" t="n">
        <v>857.697</v>
      </c>
      <c r="H1259" s="6" t="s">
        <v>792</v>
      </c>
      <c r="I1259" s="0" t="n">
        <v>0.4</v>
      </c>
      <c r="J1259" s="0" t="n">
        <f aca="false">CONVERT(G1259,"m^2","ha")</f>
        <v>0.0857697</v>
      </c>
      <c r="K1259" s="0" t="b">
        <f aca="false">IF(J1259&gt;(I1259*2),((ROUNDDOWN(J1259/I1259,0))-1))</f>
        <v>0</v>
      </c>
    </row>
    <row r="1260" customFormat="false" ht="12.75" hidden="false" customHeight="false" outlineLevel="0" collapsed="false">
      <c r="A1260" s="5" t="n">
        <v>2255</v>
      </c>
      <c r="B1260" s="6" t="s">
        <v>3307</v>
      </c>
      <c r="C1260" s="6" t="s">
        <v>12</v>
      </c>
      <c r="D1260" s="6" t="s">
        <v>3308</v>
      </c>
      <c r="E1260" s="6" t="s">
        <v>14</v>
      </c>
      <c r="F1260" s="6" t="n">
        <v>922.274684755</v>
      </c>
      <c r="G1260" s="6" t="n">
        <v>922.275</v>
      </c>
      <c r="H1260" s="6" t="s">
        <v>792</v>
      </c>
      <c r="I1260" s="0" t="n">
        <v>0.4</v>
      </c>
      <c r="J1260" s="0" t="n">
        <f aca="false">CONVERT(G1260,"m^2","ha")</f>
        <v>0.0922275</v>
      </c>
      <c r="K1260" s="0" t="b">
        <f aca="false">IF(J1260&gt;(I1260*2),((ROUNDDOWN(J1260/I1260,0))-1))</f>
        <v>0</v>
      </c>
    </row>
    <row r="1261" customFormat="false" ht="12.75" hidden="false" customHeight="false" outlineLevel="0" collapsed="false">
      <c r="A1261" s="5" t="n">
        <v>2256</v>
      </c>
      <c r="B1261" s="6" t="s">
        <v>3309</v>
      </c>
      <c r="C1261" s="6" t="s">
        <v>12</v>
      </c>
      <c r="D1261" s="6" t="s">
        <v>3310</v>
      </c>
      <c r="E1261" s="6" t="s">
        <v>14</v>
      </c>
      <c r="F1261" s="6" t="n">
        <v>6889.938144385</v>
      </c>
      <c r="G1261" s="6" t="n">
        <v>6889.938</v>
      </c>
      <c r="H1261" s="6" t="s">
        <v>792</v>
      </c>
      <c r="I1261" s="0" t="n">
        <v>0.4</v>
      </c>
      <c r="J1261" s="0" t="n">
        <f aca="false">CONVERT(G1261,"m^2","ha")</f>
        <v>0.6889938</v>
      </c>
      <c r="K1261" s="0" t="b">
        <f aca="false">IF(J1261&gt;(I1261*2),((ROUNDDOWN(J1261/I1261,0))-1))</f>
        <v>0</v>
      </c>
    </row>
    <row r="1262" customFormat="false" ht="12.75" hidden="false" customHeight="false" outlineLevel="0" collapsed="false">
      <c r="A1262" s="5" t="n">
        <v>2258</v>
      </c>
      <c r="B1262" s="6" t="s">
        <v>3311</v>
      </c>
      <c r="C1262" s="6" t="s">
        <v>12</v>
      </c>
      <c r="D1262" s="6" t="s">
        <v>3312</v>
      </c>
      <c r="E1262" s="6" t="s">
        <v>14</v>
      </c>
      <c r="F1262" s="6" t="n">
        <v>1523.345852505</v>
      </c>
      <c r="G1262" s="6" t="n">
        <v>1523.346</v>
      </c>
      <c r="H1262" s="6" t="s">
        <v>792</v>
      </c>
      <c r="I1262" s="0" t="n">
        <v>0.4</v>
      </c>
      <c r="J1262" s="0" t="n">
        <f aca="false">CONVERT(G1262,"m^2","ha")</f>
        <v>0.1523346</v>
      </c>
      <c r="K1262" s="0" t="b">
        <f aca="false">IF(J1262&gt;(I1262*2),((ROUNDDOWN(J1262/I1262,0))-1))</f>
        <v>0</v>
      </c>
    </row>
    <row r="1263" customFormat="false" ht="12.75" hidden="false" customHeight="false" outlineLevel="0" collapsed="false">
      <c r="A1263" s="5" t="n">
        <v>2259</v>
      </c>
      <c r="B1263" s="6" t="s">
        <v>3313</v>
      </c>
      <c r="C1263" s="6" t="s">
        <v>12</v>
      </c>
      <c r="D1263" s="6" t="s">
        <v>3314</v>
      </c>
      <c r="E1263" s="6" t="s">
        <v>14</v>
      </c>
      <c r="F1263" s="6" t="n">
        <v>38.515887705</v>
      </c>
      <c r="G1263" s="6" t="n">
        <v>38.516</v>
      </c>
      <c r="H1263" s="6" t="s">
        <v>792</v>
      </c>
      <c r="I1263" s="0" t="n">
        <v>0.4</v>
      </c>
      <c r="J1263" s="0" t="n">
        <f aca="false">CONVERT(G1263,"m^2","ha")</f>
        <v>0.0038516</v>
      </c>
      <c r="K1263" s="0" t="b">
        <f aca="false">IF(J1263&gt;(I1263*2),((ROUNDDOWN(J1263/I1263,0))-1))</f>
        <v>0</v>
      </c>
    </row>
    <row r="1264" customFormat="false" ht="12.75" hidden="false" customHeight="false" outlineLevel="0" collapsed="false">
      <c r="A1264" s="5" t="n">
        <v>2260</v>
      </c>
      <c r="B1264" s="6" t="s">
        <v>3315</v>
      </c>
      <c r="C1264" s="6" t="s">
        <v>12</v>
      </c>
      <c r="D1264" s="6" t="s">
        <v>3316</v>
      </c>
      <c r="E1264" s="6" t="s">
        <v>14</v>
      </c>
      <c r="F1264" s="6" t="n">
        <v>7240.58369422</v>
      </c>
      <c r="G1264" s="6" t="n">
        <v>7240.457</v>
      </c>
      <c r="H1264" s="6" t="s">
        <v>792</v>
      </c>
      <c r="I1264" s="0" t="n">
        <v>0.4</v>
      </c>
      <c r="J1264" s="0" t="n">
        <f aca="false">CONVERT(G1264,"m^2","ha")</f>
        <v>0.7240457</v>
      </c>
      <c r="K1264" s="0" t="b">
        <f aca="false">IF(J1264&gt;(I1264*2),((ROUNDDOWN(J1264/I1264,0))-1))</f>
        <v>0</v>
      </c>
    </row>
    <row r="1265" customFormat="false" ht="12.75" hidden="false" customHeight="false" outlineLevel="0" collapsed="false">
      <c r="A1265" s="5" t="n">
        <v>2261</v>
      </c>
      <c r="B1265" s="6" t="s">
        <v>3317</v>
      </c>
      <c r="C1265" s="6" t="s">
        <v>12</v>
      </c>
      <c r="D1265" s="6" t="s">
        <v>3318</v>
      </c>
      <c r="E1265" s="6" t="s">
        <v>14</v>
      </c>
      <c r="F1265" s="6" t="n">
        <v>1552.04348616</v>
      </c>
      <c r="G1265" s="6" t="n">
        <v>1551.407</v>
      </c>
      <c r="H1265" s="6" t="s">
        <v>792</v>
      </c>
      <c r="I1265" s="0" t="n">
        <v>0.4</v>
      </c>
      <c r="J1265" s="0" t="n">
        <f aca="false">CONVERT(G1265,"m^2","ha")</f>
        <v>0.1551407</v>
      </c>
      <c r="K1265" s="0" t="b">
        <f aca="false">IF(J1265&gt;(I1265*2),((ROUNDDOWN(J1265/I1265,0))-1))</f>
        <v>0</v>
      </c>
    </row>
    <row r="1266" customFormat="false" ht="12.75" hidden="false" customHeight="false" outlineLevel="0" collapsed="false">
      <c r="A1266" s="5" t="n">
        <v>2263</v>
      </c>
      <c r="B1266" s="6" t="s">
        <v>3319</v>
      </c>
      <c r="C1266" s="6" t="s">
        <v>12</v>
      </c>
      <c r="D1266" s="6" t="s">
        <v>3320</v>
      </c>
      <c r="E1266" s="6" t="s">
        <v>14</v>
      </c>
      <c r="F1266" s="6" t="n">
        <v>7415.777111075</v>
      </c>
      <c r="G1266" s="6" t="n">
        <v>7415.91</v>
      </c>
      <c r="H1266" s="6" t="s">
        <v>792</v>
      </c>
      <c r="I1266" s="0" t="n">
        <v>0.4</v>
      </c>
      <c r="J1266" s="0" t="n">
        <f aca="false">CONVERT(G1266,"m^2","ha")</f>
        <v>0.741591</v>
      </c>
      <c r="K1266" s="0" t="b">
        <f aca="false">IF(J1266&gt;(I1266*2),((ROUNDDOWN(J1266/I1266,0))-1))</f>
        <v>0</v>
      </c>
    </row>
    <row r="1267" customFormat="false" ht="12.75" hidden="false" customHeight="false" outlineLevel="0" collapsed="false">
      <c r="A1267" s="5" t="n">
        <v>2264</v>
      </c>
      <c r="B1267" s="6" t="s">
        <v>3321</v>
      </c>
      <c r="C1267" s="6" t="s">
        <v>12</v>
      </c>
      <c r="D1267" s="6" t="s">
        <v>3322</v>
      </c>
      <c r="E1267" s="6" t="s">
        <v>14</v>
      </c>
      <c r="F1267" s="6" t="n">
        <v>5279.18662744</v>
      </c>
      <c r="G1267" s="6" t="n">
        <v>5279.488</v>
      </c>
      <c r="H1267" s="6" t="s">
        <v>792</v>
      </c>
      <c r="I1267" s="0" t="n">
        <v>0.4</v>
      </c>
      <c r="J1267" s="0" t="n">
        <f aca="false">CONVERT(G1267,"m^2","ha")</f>
        <v>0.5279488</v>
      </c>
      <c r="K1267" s="0" t="b">
        <f aca="false">IF(J1267&gt;(I1267*2),((ROUNDDOWN(J1267/I1267,0))-1))</f>
        <v>0</v>
      </c>
    </row>
    <row r="1268" customFormat="false" ht="12.75" hidden="false" customHeight="false" outlineLevel="0" collapsed="false">
      <c r="A1268" s="5" t="n">
        <v>2265</v>
      </c>
      <c r="B1268" s="6" t="s">
        <v>3323</v>
      </c>
      <c r="C1268" s="6" t="s">
        <v>12</v>
      </c>
      <c r="D1268" s="6" t="s">
        <v>3324</v>
      </c>
      <c r="E1268" s="6" t="s">
        <v>14</v>
      </c>
      <c r="F1268" s="6" t="n">
        <v>1050.90143336</v>
      </c>
      <c r="G1268" s="6" t="n">
        <v>1050.901</v>
      </c>
      <c r="H1268" s="6" t="s">
        <v>792</v>
      </c>
      <c r="I1268" s="0" t="n">
        <v>0.4</v>
      </c>
      <c r="J1268" s="0" t="n">
        <f aca="false">CONVERT(G1268,"m^2","ha")</f>
        <v>0.1050901</v>
      </c>
      <c r="K1268" s="0" t="b">
        <f aca="false">IF(J1268&gt;(I1268*2),((ROUNDDOWN(J1268/I1268,0))-1))</f>
        <v>0</v>
      </c>
    </row>
    <row r="1269" customFormat="false" ht="12.75" hidden="false" customHeight="false" outlineLevel="0" collapsed="false">
      <c r="A1269" s="5" t="n">
        <v>2266</v>
      </c>
      <c r="B1269" s="6" t="s">
        <v>3325</v>
      </c>
      <c r="C1269" s="6" t="s">
        <v>12</v>
      </c>
      <c r="D1269" s="6" t="s">
        <v>3326</v>
      </c>
      <c r="E1269" s="6" t="s">
        <v>14</v>
      </c>
      <c r="F1269" s="6" t="n">
        <v>54644.15684085</v>
      </c>
      <c r="G1269" s="6" t="n">
        <v>54644.157</v>
      </c>
      <c r="H1269" s="6" t="s">
        <v>792</v>
      </c>
      <c r="I1269" s="0" t="n">
        <v>0.4</v>
      </c>
      <c r="J1269" s="0" t="n">
        <f aca="false">CONVERT(G1269,"m^2","ha")</f>
        <v>5.4644157</v>
      </c>
      <c r="K1269" s="0" t="n">
        <f aca="false">IF(J1269&gt;(I1269*2),((ROUNDDOWN(J1269/I1269,0))-1))</f>
        <v>12</v>
      </c>
    </row>
    <row r="1270" customFormat="false" ht="12.75" hidden="false" customHeight="false" outlineLevel="0" collapsed="false">
      <c r="A1270" s="5" t="n">
        <v>2267</v>
      </c>
      <c r="B1270" s="6" t="s">
        <v>3327</v>
      </c>
      <c r="C1270" s="6" t="s">
        <v>12</v>
      </c>
      <c r="D1270" s="6" t="s">
        <v>3328</v>
      </c>
      <c r="E1270" s="6" t="s">
        <v>14</v>
      </c>
      <c r="F1270" s="6" t="n">
        <v>1039.30806573</v>
      </c>
      <c r="G1270" s="6" t="n">
        <v>1039.308</v>
      </c>
      <c r="H1270" s="6" t="s">
        <v>792</v>
      </c>
      <c r="I1270" s="0" t="n">
        <v>0.4</v>
      </c>
      <c r="J1270" s="0" t="n">
        <f aca="false">CONVERT(G1270,"m^2","ha")</f>
        <v>0.1039308</v>
      </c>
      <c r="K1270" s="0" t="b">
        <f aca="false">IF(J1270&gt;(I1270*2),((ROUNDDOWN(J1270/I1270,0))-1))</f>
        <v>0</v>
      </c>
    </row>
    <row r="1271" customFormat="false" ht="12.75" hidden="false" customHeight="false" outlineLevel="0" collapsed="false">
      <c r="A1271" s="5" t="n">
        <v>2269</v>
      </c>
      <c r="B1271" s="6" t="s">
        <v>3329</v>
      </c>
      <c r="C1271" s="6" t="s">
        <v>12</v>
      </c>
      <c r="D1271" s="6" t="s">
        <v>3330</v>
      </c>
      <c r="E1271" s="6" t="s">
        <v>14</v>
      </c>
      <c r="F1271" s="6" t="n">
        <v>708.98012765</v>
      </c>
      <c r="G1271" s="6" t="n">
        <v>708.556</v>
      </c>
      <c r="H1271" s="6" t="s">
        <v>792</v>
      </c>
      <c r="I1271" s="0" t="n">
        <v>0.4</v>
      </c>
      <c r="J1271" s="0" t="n">
        <f aca="false">CONVERT(G1271,"m^2","ha")</f>
        <v>0.0708556</v>
      </c>
      <c r="K1271" s="0" t="b">
        <f aca="false">IF(J1271&gt;(I1271*2),((ROUNDDOWN(J1271/I1271,0))-1))</f>
        <v>0</v>
      </c>
    </row>
    <row r="1272" customFormat="false" ht="12.75" hidden="false" customHeight="false" outlineLevel="0" collapsed="false">
      <c r="A1272" s="5" t="n">
        <v>2270</v>
      </c>
      <c r="B1272" s="6" t="s">
        <v>3331</v>
      </c>
      <c r="C1272" s="6" t="s">
        <v>12</v>
      </c>
      <c r="D1272" s="6" t="s">
        <v>3332</v>
      </c>
      <c r="E1272" s="6" t="s">
        <v>14</v>
      </c>
      <c r="F1272" s="6" t="n">
        <v>9624.667547095</v>
      </c>
      <c r="G1272" s="6" t="n">
        <v>9624.668</v>
      </c>
      <c r="H1272" s="6" t="s">
        <v>792</v>
      </c>
      <c r="I1272" s="0" t="n">
        <v>0.4</v>
      </c>
      <c r="J1272" s="0" t="n">
        <f aca="false">CONVERT(G1272,"m^2","ha")</f>
        <v>0.9624668</v>
      </c>
      <c r="K1272" s="0" t="n">
        <f aca="false">IF(J1272&gt;(I1272*2),((ROUNDDOWN(J1272/I1272,0))-1))</f>
        <v>1</v>
      </c>
    </row>
    <row r="1273" customFormat="false" ht="12.75" hidden="false" customHeight="false" outlineLevel="0" collapsed="false">
      <c r="A1273" s="5" t="n">
        <v>2272</v>
      </c>
      <c r="B1273" s="6" t="s">
        <v>3333</v>
      </c>
      <c r="C1273" s="6" t="s">
        <v>12</v>
      </c>
      <c r="D1273" s="6" t="s">
        <v>3334</v>
      </c>
      <c r="E1273" s="6" t="s">
        <v>14</v>
      </c>
      <c r="F1273" s="6" t="n">
        <v>681.576761355</v>
      </c>
      <c r="G1273" s="6" t="n">
        <v>681.577</v>
      </c>
      <c r="H1273" s="6" t="s">
        <v>792</v>
      </c>
      <c r="I1273" s="0" t="n">
        <v>0.4</v>
      </c>
      <c r="J1273" s="0" t="n">
        <f aca="false">CONVERT(G1273,"m^2","ha")</f>
        <v>0.0681577</v>
      </c>
      <c r="K1273" s="0" t="b">
        <f aca="false">IF(J1273&gt;(I1273*2),((ROUNDDOWN(J1273/I1273,0))-1))</f>
        <v>0</v>
      </c>
    </row>
    <row r="1274" customFormat="false" ht="12.75" hidden="false" customHeight="false" outlineLevel="0" collapsed="false">
      <c r="A1274" s="5" t="n">
        <v>2274</v>
      </c>
      <c r="B1274" s="6" t="s">
        <v>3335</v>
      </c>
      <c r="C1274" s="6" t="s">
        <v>12</v>
      </c>
      <c r="D1274" s="6" t="s">
        <v>3336</v>
      </c>
      <c r="E1274" s="6" t="s">
        <v>14</v>
      </c>
      <c r="F1274" s="6" t="n">
        <v>1103.309899225</v>
      </c>
      <c r="G1274" s="6" t="n">
        <v>1103.31</v>
      </c>
      <c r="H1274" s="6" t="s">
        <v>792</v>
      </c>
      <c r="I1274" s="0" t="n">
        <v>0.4</v>
      </c>
      <c r="J1274" s="0" t="n">
        <f aca="false">CONVERT(G1274,"m^2","ha")</f>
        <v>0.110331</v>
      </c>
      <c r="K1274" s="0" t="b">
        <f aca="false">IF(J1274&gt;(I1274*2),((ROUNDDOWN(J1274/I1274,0))-1))</f>
        <v>0</v>
      </c>
    </row>
    <row r="1275" customFormat="false" ht="12.75" hidden="false" customHeight="false" outlineLevel="0" collapsed="false">
      <c r="A1275" s="5" t="n">
        <v>2275</v>
      </c>
      <c r="B1275" s="6" t="s">
        <v>3337</v>
      </c>
      <c r="C1275" s="6" t="s">
        <v>12</v>
      </c>
      <c r="D1275" s="6" t="s">
        <v>3338</v>
      </c>
      <c r="E1275" s="6" t="s">
        <v>14</v>
      </c>
      <c r="F1275" s="6" t="n">
        <v>6885.269557535</v>
      </c>
      <c r="G1275" s="6" t="n">
        <v>6885.288</v>
      </c>
      <c r="H1275" s="6" t="s">
        <v>792</v>
      </c>
      <c r="I1275" s="0" t="n">
        <v>0.4</v>
      </c>
      <c r="J1275" s="0" t="n">
        <f aca="false">CONVERT(G1275,"m^2","ha")</f>
        <v>0.6885288</v>
      </c>
      <c r="K1275" s="0" t="b">
        <f aca="false">IF(J1275&gt;(I1275*2),((ROUNDDOWN(J1275/I1275,0))-1))</f>
        <v>0</v>
      </c>
    </row>
    <row r="1276" customFormat="false" ht="12.75" hidden="false" customHeight="false" outlineLevel="0" collapsed="false">
      <c r="A1276" s="5" t="n">
        <v>2276</v>
      </c>
      <c r="B1276" s="6" t="s">
        <v>3339</v>
      </c>
      <c r="C1276" s="6" t="s">
        <v>12</v>
      </c>
      <c r="D1276" s="6" t="s">
        <v>3340</v>
      </c>
      <c r="E1276" s="6" t="s">
        <v>14</v>
      </c>
      <c r="F1276" s="6" t="n">
        <v>7940.1652199</v>
      </c>
      <c r="G1276" s="6" t="n">
        <v>7940.165</v>
      </c>
      <c r="H1276" s="6" t="s">
        <v>792</v>
      </c>
      <c r="I1276" s="0" t="n">
        <v>0.4</v>
      </c>
      <c r="J1276" s="0" t="n">
        <f aca="false">CONVERT(G1276,"m^2","ha")</f>
        <v>0.7940165</v>
      </c>
      <c r="K1276" s="0" t="b">
        <f aca="false">IF(J1276&gt;(I1276*2),((ROUNDDOWN(J1276/I1276,0))-1))</f>
        <v>0</v>
      </c>
    </row>
    <row r="1277" customFormat="false" ht="12.75" hidden="false" customHeight="false" outlineLevel="0" collapsed="false">
      <c r="A1277" s="5" t="n">
        <v>2277</v>
      </c>
      <c r="B1277" s="6" t="s">
        <v>3341</v>
      </c>
      <c r="C1277" s="6" t="s">
        <v>12</v>
      </c>
      <c r="D1277" s="6" t="s">
        <v>3342</v>
      </c>
      <c r="E1277" s="6" t="s">
        <v>14</v>
      </c>
      <c r="F1277" s="6" t="n">
        <v>22061.12105482</v>
      </c>
      <c r="G1277" s="6" t="n">
        <v>22061.783</v>
      </c>
      <c r="H1277" s="6" t="s">
        <v>792</v>
      </c>
      <c r="I1277" s="0" t="n">
        <v>0.4</v>
      </c>
      <c r="J1277" s="0" t="n">
        <f aca="false">CONVERT(G1277,"m^2","ha")</f>
        <v>2.2061783</v>
      </c>
      <c r="K1277" s="0" t="n">
        <f aca="false">IF(J1277&gt;(I1277*2),((ROUNDDOWN(J1277/I1277,0))-1))</f>
        <v>4</v>
      </c>
    </row>
    <row r="1278" customFormat="false" ht="12.75" hidden="false" customHeight="false" outlineLevel="0" collapsed="false">
      <c r="A1278" s="5" t="n">
        <v>2279</v>
      </c>
      <c r="B1278" s="6" t="s">
        <v>3343</v>
      </c>
      <c r="C1278" s="6" t="s">
        <v>12</v>
      </c>
      <c r="D1278" s="6" t="s">
        <v>3344</v>
      </c>
      <c r="E1278" s="6" t="s">
        <v>14</v>
      </c>
      <c r="F1278" s="6" t="n">
        <v>795.578983445</v>
      </c>
      <c r="G1278" s="6" t="n">
        <v>794.465</v>
      </c>
      <c r="H1278" s="6" t="s">
        <v>792</v>
      </c>
      <c r="I1278" s="0" t="n">
        <v>0.4</v>
      </c>
      <c r="J1278" s="0" t="n">
        <f aca="false">CONVERT(G1278,"m^2","ha")</f>
        <v>0.0794465</v>
      </c>
      <c r="K1278" s="0" t="b">
        <f aca="false">IF(J1278&gt;(I1278*2),((ROUNDDOWN(J1278/I1278,0))-1))</f>
        <v>0</v>
      </c>
    </row>
    <row r="1279" customFormat="false" ht="12.75" hidden="false" customHeight="false" outlineLevel="0" collapsed="false">
      <c r="A1279" s="5" t="n">
        <v>2280</v>
      </c>
      <c r="B1279" s="6" t="s">
        <v>3345</v>
      </c>
      <c r="C1279" s="6" t="s">
        <v>12</v>
      </c>
      <c r="D1279" s="6" t="s">
        <v>3346</v>
      </c>
      <c r="E1279" s="6" t="s">
        <v>14</v>
      </c>
      <c r="F1279" s="6" t="n">
        <v>2223.02676791</v>
      </c>
      <c r="G1279" s="6" t="n">
        <v>2220.625</v>
      </c>
      <c r="H1279" s="6" t="s">
        <v>792</v>
      </c>
      <c r="I1279" s="0" t="n">
        <v>0.4</v>
      </c>
      <c r="J1279" s="0" t="n">
        <f aca="false">CONVERT(G1279,"m^2","ha")</f>
        <v>0.2220625</v>
      </c>
      <c r="K1279" s="0" t="b">
        <f aca="false">IF(J1279&gt;(I1279*2),((ROUNDDOWN(J1279/I1279,0))-1))</f>
        <v>0</v>
      </c>
    </row>
    <row r="1280" customFormat="false" ht="12.75" hidden="false" customHeight="false" outlineLevel="0" collapsed="false">
      <c r="A1280" s="5" t="n">
        <v>2291</v>
      </c>
      <c r="B1280" s="6" t="s">
        <v>3347</v>
      </c>
      <c r="C1280" s="6" t="s">
        <v>12</v>
      </c>
      <c r="D1280" s="6" t="s">
        <v>3348</v>
      </c>
      <c r="E1280" s="6" t="s">
        <v>14</v>
      </c>
      <c r="F1280" s="6" t="n">
        <v>1817.408130875</v>
      </c>
      <c r="G1280" s="6" t="n">
        <v>1817.95</v>
      </c>
      <c r="H1280" s="6" t="s">
        <v>792</v>
      </c>
      <c r="I1280" s="0" t="n">
        <v>0.4</v>
      </c>
      <c r="J1280" s="0" t="n">
        <f aca="false">CONVERT(G1280,"m^2","ha")</f>
        <v>0.181795</v>
      </c>
      <c r="K1280" s="0" t="b">
        <f aca="false">IF(J1280&gt;(I1280*2),((ROUNDDOWN(J1280/I1280,0))-1))</f>
        <v>0</v>
      </c>
    </row>
    <row r="1281" customFormat="false" ht="12.75" hidden="false" customHeight="false" outlineLevel="0" collapsed="false">
      <c r="A1281" s="5" t="n">
        <v>2292</v>
      </c>
      <c r="B1281" s="6" t="s">
        <v>3349</v>
      </c>
      <c r="C1281" s="6" t="s">
        <v>12</v>
      </c>
      <c r="D1281" s="6" t="s">
        <v>3350</v>
      </c>
      <c r="E1281" s="6" t="s">
        <v>14</v>
      </c>
      <c r="F1281" s="6" t="n">
        <v>1308.63769071</v>
      </c>
      <c r="G1281" s="6" t="n">
        <v>1309.411</v>
      </c>
      <c r="H1281" s="6" t="s">
        <v>792</v>
      </c>
      <c r="I1281" s="0" t="n">
        <v>0.4</v>
      </c>
      <c r="J1281" s="0" t="n">
        <f aca="false">CONVERT(G1281,"m^2","ha")</f>
        <v>0.1309411</v>
      </c>
      <c r="K1281" s="0" t="b">
        <f aca="false">IF(J1281&gt;(I1281*2),((ROUNDDOWN(J1281/I1281,0))-1))</f>
        <v>0</v>
      </c>
    </row>
    <row r="1282" customFormat="false" ht="12.75" hidden="false" customHeight="false" outlineLevel="0" collapsed="false">
      <c r="A1282" s="5" t="n">
        <v>2293</v>
      </c>
      <c r="B1282" s="6" t="s">
        <v>3351</v>
      </c>
      <c r="C1282" s="6" t="s">
        <v>12</v>
      </c>
      <c r="D1282" s="6" t="s">
        <v>3352</v>
      </c>
      <c r="E1282" s="6" t="s">
        <v>14</v>
      </c>
      <c r="F1282" s="6" t="n">
        <v>863.75256759</v>
      </c>
      <c r="G1282" s="6" t="n">
        <v>863.753</v>
      </c>
      <c r="H1282" s="6" t="s">
        <v>792</v>
      </c>
      <c r="I1282" s="0" t="n">
        <v>0.4</v>
      </c>
      <c r="J1282" s="0" t="n">
        <f aca="false">CONVERT(G1282,"m^2","ha")</f>
        <v>0.0863753</v>
      </c>
      <c r="K1282" s="0" t="b">
        <f aca="false">IF(J1282&gt;(I1282*2),((ROUNDDOWN(J1282/I1282,0))-1))</f>
        <v>0</v>
      </c>
    </row>
    <row r="1283" customFormat="false" ht="12.75" hidden="false" customHeight="false" outlineLevel="0" collapsed="false">
      <c r="A1283" s="5" t="n">
        <v>2294</v>
      </c>
      <c r="B1283" s="6" t="s">
        <v>3353</v>
      </c>
      <c r="C1283" s="6" t="s">
        <v>12</v>
      </c>
      <c r="D1283" s="6" t="s">
        <v>3354</v>
      </c>
      <c r="E1283" s="6" t="s">
        <v>14</v>
      </c>
      <c r="F1283" s="6" t="n">
        <v>904.93237248</v>
      </c>
      <c r="G1283" s="6" t="n">
        <v>904.932</v>
      </c>
      <c r="H1283" s="6" t="s">
        <v>792</v>
      </c>
      <c r="I1283" s="0" t="n">
        <v>0.4</v>
      </c>
      <c r="J1283" s="0" t="n">
        <f aca="false">CONVERT(G1283,"m^2","ha")</f>
        <v>0.0904932</v>
      </c>
      <c r="K1283" s="0" t="b">
        <f aca="false">IF(J1283&gt;(I1283*2),((ROUNDDOWN(J1283/I1283,0))-1))</f>
        <v>0</v>
      </c>
    </row>
    <row r="1284" customFormat="false" ht="12.75" hidden="false" customHeight="false" outlineLevel="0" collapsed="false">
      <c r="A1284" s="5" t="n">
        <v>2296</v>
      </c>
      <c r="B1284" s="6" t="s">
        <v>3355</v>
      </c>
      <c r="C1284" s="6" t="s">
        <v>12</v>
      </c>
      <c r="D1284" s="6" t="s">
        <v>3356</v>
      </c>
      <c r="E1284" s="6" t="s">
        <v>14</v>
      </c>
      <c r="F1284" s="6" t="n">
        <v>1805.52424622</v>
      </c>
      <c r="G1284" s="6" t="n">
        <v>1805.925</v>
      </c>
      <c r="H1284" s="6" t="s">
        <v>792</v>
      </c>
      <c r="I1284" s="0" t="n">
        <v>0.4</v>
      </c>
      <c r="J1284" s="0" t="n">
        <f aca="false">CONVERT(G1284,"m^2","ha")</f>
        <v>0.1805925</v>
      </c>
      <c r="K1284" s="0" t="b">
        <f aca="false">IF(J1284&gt;(I1284*2),((ROUNDDOWN(J1284/I1284,0))-1))</f>
        <v>0</v>
      </c>
    </row>
    <row r="1285" customFormat="false" ht="12.75" hidden="false" customHeight="false" outlineLevel="0" collapsed="false">
      <c r="A1285" s="5" t="n">
        <v>2297</v>
      </c>
      <c r="B1285" s="6" t="s">
        <v>3357</v>
      </c>
      <c r="C1285" s="6" t="s">
        <v>12</v>
      </c>
      <c r="D1285" s="6" t="s">
        <v>3358</v>
      </c>
      <c r="E1285" s="6" t="s">
        <v>14</v>
      </c>
      <c r="F1285" s="6" t="n">
        <v>4068.744389065</v>
      </c>
      <c r="G1285" s="6" t="n">
        <v>4068.78</v>
      </c>
      <c r="H1285" s="6" t="s">
        <v>792</v>
      </c>
      <c r="I1285" s="0" t="n">
        <v>0.4</v>
      </c>
      <c r="J1285" s="0" t="n">
        <f aca="false">CONVERT(G1285,"m^2","ha")</f>
        <v>0.406878</v>
      </c>
      <c r="K1285" s="0" t="b">
        <f aca="false">IF(J1285&gt;(I1285*2),((ROUNDDOWN(J1285/I1285,0))-1))</f>
        <v>0</v>
      </c>
    </row>
    <row r="1286" customFormat="false" ht="12.75" hidden="false" customHeight="false" outlineLevel="0" collapsed="false">
      <c r="A1286" s="5" t="n">
        <v>2299</v>
      </c>
      <c r="B1286" s="6" t="s">
        <v>3359</v>
      </c>
      <c r="C1286" s="6" t="s">
        <v>12</v>
      </c>
      <c r="D1286" s="6" t="s">
        <v>3360</v>
      </c>
      <c r="E1286" s="6" t="s">
        <v>14</v>
      </c>
      <c r="F1286" s="6" t="n">
        <v>4220.812787115</v>
      </c>
      <c r="G1286" s="6" t="n">
        <v>4220.813</v>
      </c>
      <c r="H1286" s="6" t="s">
        <v>792</v>
      </c>
      <c r="I1286" s="0" t="n">
        <v>0.4</v>
      </c>
      <c r="J1286" s="0" t="n">
        <f aca="false">CONVERT(G1286,"m^2","ha")</f>
        <v>0.4220813</v>
      </c>
      <c r="K1286" s="0" t="b">
        <f aca="false">IF(J1286&gt;(I1286*2),((ROUNDDOWN(J1286/I1286,0))-1))</f>
        <v>0</v>
      </c>
    </row>
    <row r="1287" customFormat="false" ht="12.75" hidden="false" customHeight="false" outlineLevel="0" collapsed="false">
      <c r="A1287" s="5" t="n">
        <v>2300</v>
      </c>
      <c r="B1287" s="6" t="s">
        <v>3361</v>
      </c>
      <c r="C1287" s="6" t="s">
        <v>12</v>
      </c>
      <c r="D1287" s="6" t="s">
        <v>3362</v>
      </c>
      <c r="E1287" s="6" t="s">
        <v>14</v>
      </c>
      <c r="F1287" s="6" t="n">
        <v>4889.54377347</v>
      </c>
      <c r="G1287" s="6" t="n">
        <v>4889.544</v>
      </c>
      <c r="H1287" s="6" t="s">
        <v>792</v>
      </c>
      <c r="I1287" s="0" t="n">
        <v>0.4</v>
      </c>
      <c r="J1287" s="0" t="n">
        <f aca="false">CONVERT(G1287,"m^2","ha")</f>
        <v>0.4889544</v>
      </c>
      <c r="K1287" s="0" t="b">
        <f aca="false">IF(J1287&gt;(I1287*2),((ROUNDDOWN(J1287/I1287,0))-1))</f>
        <v>0</v>
      </c>
    </row>
    <row r="1288" customFormat="false" ht="12.75" hidden="false" customHeight="false" outlineLevel="0" collapsed="false">
      <c r="A1288" s="5" t="n">
        <v>2301</v>
      </c>
      <c r="B1288" s="6" t="s">
        <v>3363</v>
      </c>
      <c r="C1288" s="6" t="s">
        <v>12</v>
      </c>
      <c r="D1288" s="6" t="s">
        <v>3364</v>
      </c>
      <c r="E1288" s="6" t="s">
        <v>14</v>
      </c>
      <c r="F1288" s="6" t="n">
        <v>871.06830796</v>
      </c>
      <c r="G1288" s="6" t="n">
        <v>871.068</v>
      </c>
      <c r="H1288" s="6" t="s">
        <v>792</v>
      </c>
      <c r="I1288" s="0" t="n">
        <v>0.4</v>
      </c>
      <c r="J1288" s="0" t="n">
        <f aca="false">CONVERT(G1288,"m^2","ha")</f>
        <v>0.0871068</v>
      </c>
      <c r="K1288" s="0" t="b">
        <f aca="false">IF(J1288&gt;(I1288*2),((ROUNDDOWN(J1288/I1288,0))-1))</f>
        <v>0</v>
      </c>
    </row>
    <row r="1289" customFormat="false" ht="12.75" hidden="false" customHeight="false" outlineLevel="0" collapsed="false">
      <c r="A1289" s="5" t="n">
        <v>2302</v>
      </c>
      <c r="B1289" s="6" t="s">
        <v>3365</v>
      </c>
      <c r="C1289" s="6" t="s">
        <v>12</v>
      </c>
      <c r="D1289" s="6" t="s">
        <v>3366</v>
      </c>
      <c r="E1289" s="6" t="s">
        <v>14</v>
      </c>
      <c r="F1289" s="6" t="n">
        <v>1026.075434085</v>
      </c>
      <c r="G1289" s="6" t="n">
        <v>1026.075</v>
      </c>
      <c r="H1289" s="6" t="s">
        <v>792</v>
      </c>
      <c r="I1289" s="0" t="n">
        <v>0.4</v>
      </c>
      <c r="J1289" s="0" t="n">
        <f aca="false">CONVERT(G1289,"m^2","ha")</f>
        <v>0.1026075</v>
      </c>
      <c r="K1289" s="0" t="b">
        <f aca="false">IF(J1289&gt;(I1289*2),((ROUNDDOWN(J1289/I1289,0))-1))</f>
        <v>0</v>
      </c>
    </row>
    <row r="1290" customFormat="false" ht="12.75" hidden="false" customHeight="false" outlineLevel="0" collapsed="false">
      <c r="A1290" s="5" t="n">
        <v>2303</v>
      </c>
      <c r="B1290" s="6" t="s">
        <v>3367</v>
      </c>
      <c r="C1290" s="6" t="s">
        <v>12</v>
      </c>
      <c r="D1290" s="6" t="s">
        <v>3368</v>
      </c>
      <c r="E1290" s="6" t="s">
        <v>14</v>
      </c>
      <c r="F1290" s="6" t="n">
        <v>3731.85450735</v>
      </c>
      <c r="G1290" s="6" t="n">
        <v>3731.855</v>
      </c>
      <c r="H1290" s="6" t="s">
        <v>792</v>
      </c>
      <c r="I1290" s="0" t="n">
        <v>0.4</v>
      </c>
      <c r="J1290" s="0" t="n">
        <f aca="false">CONVERT(G1290,"m^2","ha")</f>
        <v>0.3731855</v>
      </c>
      <c r="K1290" s="0" t="b">
        <f aca="false">IF(J1290&gt;(I1290*2),((ROUNDDOWN(J1290/I1290,0))-1))</f>
        <v>0</v>
      </c>
    </row>
    <row r="1291" customFormat="false" ht="12.75" hidden="false" customHeight="false" outlineLevel="0" collapsed="false">
      <c r="A1291" s="5" t="n">
        <v>2304</v>
      </c>
      <c r="B1291" s="6" t="s">
        <v>3369</v>
      </c>
      <c r="C1291" s="6" t="s">
        <v>12</v>
      </c>
      <c r="D1291" s="6" t="s">
        <v>3370</v>
      </c>
      <c r="E1291" s="6" t="s">
        <v>14</v>
      </c>
      <c r="F1291" s="6" t="n">
        <v>1075.71231469</v>
      </c>
      <c r="G1291" s="6" t="n">
        <v>1075.712</v>
      </c>
      <c r="H1291" s="6" t="s">
        <v>792</v>
      </c>
      <c r="I1291" s="0" t="n">
        <v>0.4</v>
      </c>
      <c r="J1291" s="0" t="n">
        <f aca="false">CONVERT(G1291,"m^2","ha")</f>
        <v>0.1075712</v>
      </c>
      <c r="K1291" s="0" t="b">
        <f aca="false">IF(J1291&gt;(I1291*2),((ROUNDDOWN(J1291/I1291,0))-1))</f>
        <v>0</v>
      </c>
    </row>
    <row r="1292" customFormat="false" ht="12.75" hidden="false" customHeight="false" outlineLevel="0" collapsed="false">
      <c r="A1292" s="5" t="n">
        <v>2305</v>
      </c>
      <c r="B1292" s="6" t="s">
        <v>3371</v>
      </c>
      <c r="C1292" s="6" t="s">
        <v>12</v>
      </c>
      <c r="D1292" s="6" t="s">
        <v>3372</v>
      </c>
      <c r="E1292" s="6" t="s">
        <v>14</v>
      </c>
      <c r="F1292" s="6" t="n">
        <v>991.963814205</v>
      </c>
      <c r="G1292" s="6" t="n">
        <v>991.964</v>
      </c>
      <c r="H1292" s="6" t="s">
        <v>792</v>
      </c>
      <c r="I1292" s="0" t="n">
        <v>0.4</v>
      </c>
      <c r="J1292" s="0" t="n">
        <f aca="false">CONVERT(G1292,"m^2","ha")</f>
        <v>0.0991964</v>
      </c>
      <c r="K1292" s="0" t="b">
        <f aca="false">IF(J1292&gt;(I1292*2),((ROUNDDOWN(J1292/I1292,0))-1))</f>
        <v>0</v>
      </c>
    </row>
    <row r="1293" customFormat="false" ht="12.75" hidden="false" customHeight="false" outlineLevel="0" collapsed="false">
      <c r="A1293" s="5" t="n">
        <v>2306</v>
      </c>
      <c r="B1293" s="6" t="s">
        <v>3373</v>
      </c>
      <c r="C1293" s="6" t="s">
        <v>12</v>
      </c>
      <c r="D1293" s="6" t="s">
        <v>3374</v>
      </c>
      <c r="E1293" s="6" t="s">
        <v>14</v>
      </c>
      <c r="F1293" s="6" t="n">
        <v>1086.28393462</v>
      </c>
      <c r="G1293" s="6" t="n">
        <v>1086.284</v>
      </c>
      <c r="H1293" s="6" t="s">
        <v>792</v>
      </c>
      <c r="I1293" s="0" t="n">
        <v>0.4</v>
      </c>
      <c r="J1293" s="0" t="n">
        <f aca="false">CONVERT(G1293,"m^2","ha")</f>
        <v>0.1086284</v>
      </c>
      <c r="K1293" s="0" t="b">
        <f aca="false">IF(J1293&gt;(I1293*2),((ROUNDDOWN(J1293/I1293,0))-1))</f>
        <v>0</v>
      </c>
    </row>
    <row r="1294" customFormat="false" ht="12.75" hidden="false" customHeight="false" outlineLevel="0" collapsed="false">
      <c r="A1294" s="5" t="n">
        <v>2307</v>
      </c>
      <c r="B1294" s="6" t="s">
        <v>3375</v>
      </c>
      <c r="C1294" s="6" t="s">
        <v>12</v>
      </c>
      <c r="D1294" s="6" t="s">
        <v>3376</v>
      </c>
      <c r="E1294" s="6" t="s">
        <v>14</v>
      </c>
      <c r="F1294" s="6" t="n">
        <v>943.78283803</v>
      </c>
      <c r="G1294" s="6" t="n">
        <v>943.783</v>
      </c>
      <c r="H1294" s="6" t="s">
        <v>792</v>
      </c>
      <c r="I1294" s="0" t="n">
        <v>0.4</v>
      </c>
      <c r="J1294" s="0" t="n">
        <f aca="false">CONVERT(G1294,"m^2","ha")</f>
        <v>0.0943783</v>
      </c>
      <c r="K1294" s="0" t="b">
        <f aca="false">IF(J1294&gt;(I1294*2),((ROUNDDOWN(J1294/I1294,0))-1))</f>
        <v>0</v>
      </c>
    </row>
    <row r="1295" customFormat="false" ht="12.75" hidden="false" customHeight="false" outlineLevel="0" collapsed="false">
      <c r="A1295" s="5" t="n">
        <v>2308</v>
      </c>
      <c r="B1295" s="6" t="s">
        <v>3377</v>
      </c>
      <c r="C1295" s="6" t="s">
        <v>12</v>
      </c>
      <c r="D1295" s="6" t="s">
        <v>3378</v>
      </c>
      <c r="E1295" s="6" t="s">
        <v>14</v>
      </c>
      <c r="F1295" s="6" t="n">
        <v>1086.58786702</v>
      </c>
      <c r="G1295" s="6" t="n">
        <v>1086.588</v>
      </c>
      <c r="H1295" s="6" t="s">
        <v>792</v>
      </c>
      <c r="I1295" s="0" t="n">
        <v>0.4</v>
      </c>
      <c r="J1295" s="0" t="n">
        <f aca="false">CONVERT(G1295,"m^2","ha")</f>
        <v>0.1086588</v>
      </c>
      <c r="K1295" s="0" t="b">
        <f aca="false">IF(J1295&gt;(I1295*2),((ROUNDDOWN(J1295/I1295,0))-1))</f>
        <v>0</v>
      </c>
    </row>
    <row r="1296" customFormat="false" ht="12.75" hidden="false" customHeight="false" outlineLevel="0" collapsed="false">
      <c r="A1296" s="5" t="n">
        <v>2309</v>
      </c>
      <c r="B1296" s="6" t="s">
        <v>3379</v>
      </c>
      <c r="C1296" s="6" t="s">
        <v>12</v>
      </c>
      <c r="D1296" s="6" t="s">
        <v>3380</v>
      </c>
      <c r="E1296" s="6" t="s">
        <v>14</v>
      </c>
      <c r="F1296" s="6" t="n">
        <v>4270.51373765</v>
      </c>
      <c r="G1296" s="6" t="n">
        <v>4270.514</v>
      </c>
      <c r="H1296" s="6" t="s">
        <v>792</v>
      </c>
      <c r="I1296" s="0" t="n">
        <v>0.4</v>
      </c>
      <c r="J1296" s="0" t="n">
        <f aca="false">CONVERT(G1296,"m^2","ha")</f>
        <v>0.4270514</v>
      </c>
      <c r="K1296" s="0" t="b">
        <f aca="false">IF(J1296&gt;(I1296*2),((ROUNDDOWN(J1296/I1296,0))-1))</f>
        <v>0</v>
      </c>
    </row>
    <row r="1297" customFormat="false" ht="12.75" hidden="false" customHeight="false" outlineLevel="0" collapsed="false">
      <c r="A1297" s="5" t="n">
        <v>2310</v>
      </c>
      <c r="B1297" s="6" t="s">
        <v>3381</v>
      </c>
      <c r="C1297" s="6" t="s">
        <v>12</v>
      </c>
      <c r="D1297" s="6" t="s">
        <v>3382</v>
      </c>
      <c r="E1297" s="6" t="s">
        <v>14</v>
      </c>
      <c r="F1297" s="6" t="n">
        <v>1516.1076638</v>
      </c>
      <c r="G1297" s="6" t="n">
        <v>1516.108</v>
      </c>
      <c r="H1297" s="6" t="s">
        <v>792</v>
      </c>
      <c r="I1297" s="0" t="n">
        <v>0.4</v>
      </c>
      <c r="J1297" s="0" t="n">
        <f aca="false">CONVERT(G1297,"m^2","ha")</f>
        <v>0.1516108</v>
      </c>
      <c r="K1297" s="0" t="b">
        <f aca="false">IF(J1297&gt;(I1297*2),((ROUNDDOWN(J1297/I1297,0))-1))</f>
        <v>0</v>
      </c>
    </row>
    <row r="1298" customFormat="false" ht="12.75" hidden="false" customHeight="false" outlineLevel="0" collapsed="false">
      <c r="A1298" s="5" t="n">
        <v>2311</v>
      </c>
      <c r="B1298" s="6" t="s">
        <v>3383</v>
      </c>
      <c r="C1298" s="6" t="s">
        <v>12</v>
      </c>
      <c r="D1298" s="6" t="s">
        <v>3384</v>
      </c>
      <c r="E1298" s="6" t="s">
        <v>14</v>
      </c>
      <c r="F1298" s="6" t="n">
        <v>4504.522452205</v>
      </c>
      <c r="G1298" s="6" t="n">
        <v>4504.522</v>
      </c>
      <c r="H1298" s="6" t="s">
        <v>792</v>
      </c>
      <c r="I1298" s="0" t="n">
        <v>0.4</v>
      </c>
      <c r="J1298" s="0" t="n">
        <f aca="false">CONVERT(G1298,"m^2","ha")</f>
        <v>0.4504522</v>
      </c>
      <c r="K1298" s="0" t="b">
        <f aca="false">IF(J1298&gt;(I1298*2),((ROUNDDOWN(J1298/I1298,0))-1))</f>
        <v>0</v>
      </c>
    </row>
    <row r="1299" customFormat="false" ht="12.75" hidden="false" customHeight="false" outlineLevel="0" collapsed="false">
      <c r="A1299" s="5" t="n">
        <v>2373</v>
      </c>
      <c r="B1299" s="6" t="s">
        <v>3385</v>
      </c>
      <c r="C1299" s="6" t="s">
        <v>12</v>
      </c>
      <c r="D1299" s="6" t="s">
        <v>3386</v>
      </c>
      <c r="E1299" s="6" t="s">
        <v>14</v>
      </c>
      <c r="F1299" s="6" t="n">
        <v>4048.52941557</v>
      </c>
      <c r="G1299" s="6" t="n">
        <v>4049.057</v>
      </c>
      <c r="H1299" s="6" t="s">
        <v>792</v>
      </c>
      <c r="I1299" s="0" t="n">
        <v>0.4</v>
      </c>
      <c r="J1299" s="0" t="n">
        <f aca="false">CONVERT(G1299,"m^2","ha")</f>
        <v>0.4049057</v>
      </c>
      <c r="K1299" s="0" t="b">
        <f aca="false">IF(J1299&gt;(I1299*2),((ROUNDDOWN(J1299/I1299,0))-1))</f>
        <v>0</v>
      </c>
    </row>
    <row r="1300" customFormat="false" ht="12.75" hidden="false" customHeight="false" outlineLevel="0" collapsed="false">
      <c r="A1300" s="5" t="n">
        <v>2374</v>
      </c>
      <c r="B1300" s="6" t="s">
        <v>3387</v>
      </c>
      <c r="C1300" s="6" t="s">
        <v>12</v>
      </c>
      <c r="D1300" s="6" t="s">
        <v>3388</v>
      </c>
      <c r="E1300" s="6" t="s">
        <v>14</v>
      </c>
      <c r="F1300" s="6" t="n">
        <v>6360.875057815</v>
      </c>
      <c r="G1300" s="6" t="n">
        <v>6360.875</v>
      </c>
      <c r="H1300" s="6" t="s">
        <v>792</v>
      </c>
      <c r="I1300" s="0" t="n">
        <v>0.4</v>
      </c>
      <c r="J1300" s="0" t="n">
        <f aca="false">CONVERT(G1300,"m^2","ha")</f>
        <v>0.6360875</v>
      </c>
      <c r="K1300" s="0" t="b">
        <f aca="false">IF(J1300&gt;(I1300*2),((ROUNDDOWN(J1300/I1300,0))-1))</f>
        <v>0</v>
      </c>
    </row>
    <row r="1301" customFormat="false" ht="12.75" hidden="false" customHeight="false" outlineLevel="0" collapsed="false">
      <c r="A1301" s="5" t="n">
        <v>2377</v>
      </c>
      <c r="B1301" s="6" t="s">
        <v>3389</v>
      </c>
      <c r="C1301" s="6" t="s">
        <v>12</v>
      </c>
      <c r="D1301" s="6" t="s">
        <v>3390</v>
      </c>
      <c r="E1301" s="6" t="s">
        <v>14</v>
      </c>
      <c r="F1301" s="6" t="n">
        <v>1561.81588208</v>
      </c>
      <c r="G1301" s="6" t="n">
        <v>1561.816</v>
      </c>
      <c r="H1301" s="6" t="s">
        <v>792</v>
      </c>
      <c r="I1301" s="0" t="n">
        <v>0.4</v>
      </c>
      <c r="J1301" s="0" t="n">
        <f aca="false">CONVERT(G1301,"m^2","ha")</f>
        <v>0.1561816</v>
      </c>
      <c r="K1301" s="0" t="b">
        <f aca="false">IF(J1301&gt;(I1301*2),((ROUNDDOWN(J1301/I1301,0))-1))</f>
        <v>0</v>
      </c>
    </row>
    <row r="1302" customFormat="false" ht="12.75" hidden="false" customHeight="false" outlineLevel="0" collapsed="false">
      <c r="A1302" s="5" t="n">
        <v>2378</v>
      </c>
      <c r="B1302" s="6" t="s">
        <v>3391</v>
      </c>
      <c r="C1302" s="6" t="s">
        <v>12</v>
      </c>
      <c r="D1302" s="6" t="s">
        <v>3392</v>
      </c>
      <c r="E1302" s="6" t="s">
        <v>14</v>
      </c>
      <c r="F1302" s="6" t="n">
        <v>7261.62432937</v>
      </c>
      <c r="G1302" s="6" t="n">
        <v>7261.624</v>
      </c>
      <c r="H1302" s="6" t="s">
        <v>792</v>
      </c>
      <c r="I1302" s="0" t="n">
        <v>0.4</v>
      </c>
      <c r="J1302" s="0" t="n">
        <f aca="false">CONVERT(G1302,"m^2","ha")</f>
        <v>0.7261624</v>
      </c>
      <c r="K1302" s="0" t="b">
        <f aca="false">IF(J1302&gt;(I1302*2),((ROUNDDOWN(J1302/I1302,0))-1))</f>
        <v>0</v>
      </c>
    </row>
    <row r="1303" customFormat="false" ht="12.75" hidden="false" customHeight="false" outlineLevel="0" collapsed="false">
      <c r="A1303" s="5" t="n">
        <v>2394</v>
      </c>
      <c r="B1303" s="6" t="s">
        <v>3393</v>
      </c>
      <c r="C1303" s="6" t="s">
        <v>12</v>
      </c>
      <c r="D1303" s="6" t="s">
        <v>3394</v>
      </c>
      <c r="E1303" s="6" t="s">
        <v>14</v>
      </c>
      <c r="F1303" s="6" t="n">
        <v>862.95774812</v>
      </c>
      <c r="G1303" s="6" t="n">
        <v>861.716</v>
      </c>
      <c r="H1303" s="6" t="s">
        <v>792</v>
      </c>
      <c r="I1303" s="0" t="n">
        <v>0.4</v>
      </c>
      <c r="J1303" s="0" t="n">
        <f aca="false">CONVERT(G1303,"m^2","ha")</f>
        <v>0.0861716</v>
      </c>
      <c r="K1303" s="0" t="b">
        <f aca="false">IF(J1303&gt;(I1303*2),((ROUNDDOWN(J1303/I1303,0))-1))</f>
        <v>0</v>
      </c>
    </row>
    <row r="1304" customFormat="false" ht="12.75" hidden="false" customHeight="false" outlineLevel="0" collapsed="false">
      <c r="A1304" s="5" t="n">
        <v>2395</v>
      </c>
      <c r="B1304" s="6" t="s">
        <v>3395</v>
      </c>
      <c r="C1304" s="6" t="s">
        <v>12</v>
      </c>
      <c r="D1304" s="6" t="s">
        <v>3396</v>
      </c>
      <c r="E1304" s="6" t="s">
        <v>14</v>
      </c>
      <c r="F1304" s="6" t="n">
        <v>935.66876139</v>
      </c>
      <c r="G1304" s="6" t="n">
        <v>935.669</v>
      </c>
      <c r="H1304" s="6" t="s">
        <v>792</v>
      </c>
      <c r="I1304" s="0" t="n">
        <v>0.4</v>
      </c>
      <c r="J1304" s="0" t="n">
        <f aca="false">CONVERT(G1304,"m^2","ha")</f>
        <v>0.0935669</v>
      </c>
      <c r="K1304" s="0" t="b">
        <f aca="false">IF(J1304&gt;(I1304*2),((ROUNDDOWN(J1304/I1304,0))-1))</f>
        <v>0</v>
      </c>
    </row>
    <row r="1305" customFormat="false" ht="12.75" hidden="false" customHeight="false" outlineLevel="0" collapsed="false">
      <c r="A1305" s="5" t="n">
        <v>2396</v>
      </c>
      <c r="B1305" s="6" t="s">
        <v>3397</v>
      </c>
      <c r="C1305" s="6" t="s">
        <v>12</v>
      </c>
      <c r="D1305" s="6" t="s">
        <v>3398</v>
      </c>
      <c r="E1305" s="6" t="s">
        <v>14</v>
      </c>
      <c r="F1305" s="6" t="n">
        <v>4397.566398605</v>
      </c>
      <c r="G1305" s="6" t="n">
        <v>4398.762</v>
      </c>
      <c r="H1305" s="6" t="s">
        <v>792</v>
      </c>
      <c r="I1305" s="0" t="n">
        <v>0.4</v>
      </c>
      <c r="J1305" s="0" t="n">
        <f aca="false">CONVERT(G1305,"m^2","ha")</f>
        <v>0.4398762</v>
      </c>
      <c r="K1305" s="0" t="b">
        <f aca="false">IF(J1305&gt;(I1305*2),((ROUNDDOWN(J1305/I1305,0))-1))</f>
        <v>0</v>
      </c>
    </row>
    <row r="1306" customFormat="false" ht="12.75" hidden="false" customHeight="false" outlineLevel="0" collapsed="false">
      <c r="A1306" s="5" t="n">
        <v>2397</v>
      </c>
      <c r="B1306" s="6" t="s">
        <v>3399</v>
      </c>
      <c r="C1306" s="6" t="s">
        <v>12</v>
      </c>
      <c r="D1306" s="6" t="s">
        <v>3400</v>
      </c>
      <c r="E1306" s="6" t="s">
        <v>14</v>
      </c>
      <c r="F1306" s="6" t="n">
        <v>2868.40534855</v>
      </c>
      <c r="G1306" s="6" t="n">
        <v>2868.405</v>
      </c>
      <c r="H1306" s="6" t="s">
        <v>792</v>
      </c>
      <c r="I1306" s="0" t="n">
        <v>0.4</v>
      </c>
      <c r="J1306" s="0" t="n">
        <f aca="false">CONVERT(G1306,"m^2","ha")</f>
        <v>0.2868405</v>
      </c>
      <c r="K1306" s="0" t="b">
        <f aca="false">IF(J1306&gt;(I1306*2),((ROUNDDOWN(J1306/I1306,0))-1))</f>
        <v>0</v>
      </c>
    </row>
    <row r="1307" customFormat="false" ht="12.75" hidden="false" customHeight="false" outlineLevel="0" collapsed="false">
      <c r="A1307" s="5" t="n">
        <v>2537</v>
      </c>
      <c r="B1307" s="6" t="s">
        <v>3401</v>
      </c>
      <c r="C1307" s="6" t="s">
        <v>12</v>
      </c>
      <c r="D1307" s="6" t="s">
        <v>3402</v>
      </c>
      <c r="E1307" s="6" t="s">
        <v>14</v>
      </c>
      <c r="F1307" s="6" t="n">
        <v>4028.52444866</v>
      </c>
      <c r="G1307" s="6" t="n">
        <v>4028.524</v>
      </c>
      <c r="H1307" s="6" t="s">
        <v>792</v>
      </c>
      <c r="I1307" s="0" t="n">
        <v>0.4</v>
      </c>
      <c r="J1307" s="0" t="n">
        <f aca="false">CONVERT(G1307,"m^2","ha")</f>
        <v>0.4028524</v>
      </c>
      <c r="K1307" s="0" t="b">
        <f aca="false">IF(J1307&gt;(I1307*2),((ROUNDDOWN(J1307/I1307,0))-1))</f>
        <v>0</v>
      </c>
    </row>
    <row r="1308" customFormat="false" ht="12.75" hidden="false" customHeight="false" outlineLevel="0" collapsed="false">
      <c r="A1308" s="5" t="n">
        <v>2538</v>
      </c>
      <c r="B1308" s="6" t="s">
        <v>3403</v>
      </c>
      <c r="C1308" s="6" t="s">
        <v>12</v>
      </c>
      <c r="D1308" s="6" t="s">
        <v>3404</v>
      </c>
      <c r="E1308" s="6" t="s">
        <v>14</v>
      </c>
      <c r="F1308" s="6" t="n">
        <v>4031.820269195</v>
      </c>
      <c r="G1308" s="6" t="n">
        <v>4031.82</v>
      </c>
      <c r="H1308" s="6" t="s">
        <v>792</v>
      </c>
      <c r="I1308" s="0" t="n">
        <v>0.4</v>
      </c>
      <c r="J1308" s="0" t="n">
        <f aca="false">CONVERT(G1308,"m^2","ha")</f>
        <v>0.403182</v>
      </c>
      <c r="K1308" s="0" t="b">
        <f aca="false">IF(J1308&gt;(I1308*2),((ROUNDDOWN(J1308/I1308,0))-1))</f>
        <v>0</v>
      </c>
    </row>
    <row r="1309" customFormat="false" ht="12.75" hidden="false" customHeight="false" outlineLevel="0" collapsed="false">
      <c r="A1309" s="5" t="n">
        <v>2540</v>
      </c>
      <c r="B1309" s="6" t="s">
        <v>3405</v>
      </c>
      <c r="C1309" s="6" t="s">
        <v>12</v>
      </c>
      <c r="D1309" s="6" t="s">
        <v>3406</v>
      </c>
      <c r="E1309" s="6" t="s">
        <v>14</v>
      </c>
      <c r="F1309" s="6" t="n">
        <v>4688.904518095</v>
      </c>
      <c r="G1309" s="6" t="n">
        <v>4688.905</v>
      </c>
      <c r="H1309" s="6" t="s">
        <v>792</v>
      </c>
      <c r="I1309" s="0" t="n">
        <v>0.4</v>
      </c>
      <c r="J1309" s="0" t="n">
        <f aca="false">CONVERT(G1309,"m^2","ha")</f>
        <v>0.4688905</v>
      </c>
      <c r="K1309" s="0" t="b">
        <f aca="false">IF(J1309&gt;(I1309*2),((ROUNDDOWN(J1309/I1309,0))-1))</f>
        <v>0</v>
      </c>
    </row>
    <row r="1310" customFormat="false" ht="12.75" hidden="false" customHeight="false" outlineLevel="0" collapsed="false">
      <c r="A1310" s="5" t="n">
        <v>2541</v>
      </c>
      <c r="B1310" s="6" t="s">
        <v>3407</v>
      </c>
      <c r="C1310" s="6" t="s">
        <v>12</v>
      </c>
      <c r="D1310" s="6" t="s">
        <v>3408</v>
      </c>
      <c r="E1310" s="6" t="s">
        <v>14</v>
      </c>
      <c r="F1310" s="6" t="n">
        <v>7731.614369875</v>
      </c>
      <c r="G1310" s="6" t="n">
        <v>7731.614</v>
      </c>
      <c r="H1310" s="6" t="s">
        <v>792</v>
      </c>
      <c r="I1310" s="0" t="n">
        <v>0.4</v>
      </c>
      <c r="J1310" s="0" t="n">
        <f aca="false">CONVERT(G1310,"m^2","ha")</f>
        <v>0.7731614</v>
      </c>
      <c r="K1310" s="0" t="b">
        <f aca="false">IF(J1310&gt;(I1310*2),((ROUNDDOWN(J1310/I1310,0))-1))</f>
        <v>0</v>
      </c>
    </row>
    <row r="1311" customFormat="false" ht="12.75" hidden="false" customHeight="false" outlineLevel="0" collapsed="false">
      <c r="A1311" s="5" t="n">
        <v>2542</v>
      </c>
      <c r="B1311" s="6" t="s">
        <v>3409</v>
      </c>
      <c r="C1311" s="6" t="s">
        <v>12</v>
      </c>
      <c r="D1311" s="6" t="s">
        <v>3410</v>
      </c>
      <c r="E1311" s="6" t="s">
        <v>14</v>
      </c>
      <c r="F1311" s="6" t="n">
        <v>1794.03631855</v>
      </c>
      <c r="G1311" s="6" t="n">
        <v>1794.036</v>
      </c>
      <c r="H1311" s="6" t="s">
        <v>792</v>
      </c>
      <c r="I1311" s="0" t="n">
        <v>0.4</v>
      </c>
      <c r="J1311" s="0" t="n">
        <f aca="false">CONVERT(G1311,"m^2","ha")</f>
        <v>0.1794036</v>
      </c>
      <c r="K1311" s="0" t="b">
        <f aca="false">IF(J1311&gt;(I1311*2),((ROUNDDOWN(J1311/I1311,0))-1))</f>
        <v>0</v>
      </c>
    </row>
    <row r="1312" customFormat="false" ht="12.75" hidden="false" customHeight="false" outlineLevel="0" collapsed="false">
      <c r="A1312" s="5" t="n">
        <v>2544</v>
      </c>
      <c r="B1312" s="6" t="s">
        <v>3411</v>
      </c>
      <c r="C1312" s="6" t="s">
        <v>89</v>
      </c>
      <c r="D1312" s="6" t="s">
        <v>3412</v>
      </c>
      <c r="E1312" s="6" t="s">
        <v>14</v>
      </c>
      <c r="F1312" s="6" t="n">
        <v>2333.11926625</v>
      </c>
      <c r="G1312" s="6" t="n">
        <v>2332.292</v>
      </c>
      <c r="H1312" s="6" t="s">
        <v>792</v>
      </c>
      <c r="I1312" s="0" t="n">
        <v>0.4</v>
      </c>
      <c r="J1312" s="0" t="n">
        <f aca="false">CONVERT(G1312,"m^2","ha")</f>
        <v>0.2332292</v>
      </c>
      <c r="K1312" s="0" t="b">
        <f aca="false">IF(J1312&gt;(I1312*2),((ROUNDDOWN(J1312/I1312,0))-1))</f>
        <v>0</v>
      </c>
    </row>
    <row r="1313" customFormat="false" ht="12.75" hidden="false" customHeight="false" outlineLevel="0" collapsed="false">
      <c r="A1313" s="5" t="n">
        <v>2551</v>
      </c>
      <c r="B1313" s="6" t="s">
        <v>3413</v>
      </c>
      <c r="C1313" s="6" t="s">
        <v>12</v>
      </c>
      <c r="D1313" s="6" t="s">
        <v>3414</v>
      </c>
      <c r="E1313" s="6" t="s">
        <v>14</v>
      </c>
      <c r="F1313" s="6" t="n">
        <v>1498.75970916</v>
      </c>
      <c r="G1313" s="6" t="n">
        <v>1498.76</v>
      </c>
      <c r="H1313" s="6" t="s">
        <v>792</v>
      </c>
      <c r="I1313" s="0" t="n">
        <v>0.4</v>
      </c>
      <c r="J1313" s="0" t="n">
        <f aca="false">CONVERT(G1313,"m^2","ha")</f>
        <v>0.149876</v>
      </c>
      <c r="K1313" s="0" t="b">
        <f aca="false">IF(J1313&gt;(I1313*2),((ROUNDDOWN(J1313/I1313,0))-1))</f>
        <v>0</v>
      </c>
    </row>
    <row r="1314" customFormat="false" ht="12.75" hidden="false" customHeight="false" outlineLevel="0" collapsed="false">
      <c r="A1314" s="5" t="n">
        <v>2554</v>
      </c>
      <c r="B1314" s="6" t="s">
        <v>3415</v>
      </c>
      <c r="C1314" s="6" t="s">
        <v>12</v>
      </c>
      <c r="D1314" s="6" t="s">
        <v>3416</v>
      </c>
      <c r="E1314" s="6" t="s">
        <v>14</v>
      </c>
      <c r="F1314" s="6" t="n">
        <v>1832.0372576</v>
      </c>
      <c r="G1314" s="6" t="n">
        <v>1832.037</v>
      </c>
      <c r="H1314" s="6" t="s">
        <v>792</v>
      </c>
      <c r="I1314" s="0" t="n">
        <v>0.4</v>
      </c>
      <c r="J1314" s="0" t="n">
        <f aca="false">CONVERT(G1314,"m^2","ha")</f>
        <v>0.1832037</v>
      </c>
      <c r="K1314" s="0" t="b">
        <f aca="false">IF(J1314&gt;(I1314*2),((ROUNDDOWN(J1314/I1314,0))-1))</f>
        <v>0</v>
      </c>
    </row>
    <row r="1315" customFormat="false" ht="12.75" hidden="false" customHeight="false" outlineLevel="0" collapsed="false">
      <c r="A1315" s="5" t="n">
        <v>2563</v>
      </c>
      <c r="B1315" s="6" t="s">
        <v>3417</v>
      </c>
      <c r="C1315" s="6" t="s">
        <v>89</v>
      </c>
      <c r="D1315" s="6" t="s">
        <v>3418</v>
      </c>
      <c r="E1315" s="6" t="s">
        <v>14</v>
      </c>
      <c r="F1315" s="6" t="n">
        <v>11106.290442305</v>
      </c>
      <c r="G1315" s="6" t="n">
        <v>11104.244</v>
      </c>
      <c r="H1315" s="6" t="s">
        <v>792</v>
      </c>
      <c r="I1315" s="0" t="n">
        <v>0.4</v>
      </c>
      <c r="J1315" s="0" t="n">
        <f aca="false">CONVERT(G1315,"m^2","ha")</f>
        <v>1.1104244</v>
      </c>
      <c r="K1315" s="0" t="n">
        <f aca="false">IF(J1315&gt;(I1315*2),((ROUNDDOWN(J1315/I1315,0))-1))</f>
        <v>1</v>
      </c>
    </row>
    <row r="1316" customFormat="false" ht="12.75" hidden="false" customHeight="false" outlineLevel="0" collapsed="false">
      <c r="A1316" s="5" t="n">
        <v>2564</v>
      </c>
      <c r="B1316" s="6" t="s">
        <v>3419</v>
      </c>
      <c r="C1316" s="6" t="s">
        <v>12</v>
      </c>
      <c r="D1316" s="6" t="s">
        <v>3420</v>
      </c>
      <c r="E1316" s="6" t="s">
        <v>14</v>
      </c>
      <c r="F1316" s="6" t="n">
        <v>1663.24180246</v>
      </c>
      <c r="G1316" s="6" t="n">
        <v>1663.242</v>
      </c>
      <c r="H1316" s="6" t="s">
        <v>792</v>
      </c>
      <c r="I1316" s="0" t="n">
        <v>0.4</v>
      </c>
      <c r="J1316" s="0" t="n">
        <f aca="false">CONVERT(G1316,"m^2","ha")</f>
        <v>0.1663242</v>
      </c>
      <c r="K1316" s="0" t="b">
        <f aca="false">IF(J1316&gt;(I1316*2),((ROUNDDOWN(J1316/I1316,0))-1))</f>
        <v>0</v>
      </c>
    </row>
    <row r="1317" customFormat="false" ht="12.75" hidden="false" customHeight="false" outlineLevel="0" collapsed="false">
      <c r="A1317" s="5" t="n">
        <v>2567</v>
      </c>
      <c r="B1317" s="6" t="s">
        <v>3421</v>
      </c>
      <c r="C1317" s="6" t="s">
        <v>12</v>
      </c>
      <c r="D1317" s="6" t="s">
        <v>3422</v>
      </c>
      <c r="E1317" s="6" t="s">
        <v>14</v>
      </c>
      <c r="F1317" s="6" t="n">
        <v>1697.850964185</v>
      </c>
      <c r="G1317" s="6" t="n">
        <v>1697.851</v>
      </c>
      <c r="H1317" s="6" t="s">
        <v>792</v>
      </c>
      <c r="I1317" s="0" t="n">
        <v>0.4</v>
      </c>
      <c r="J1317" s="0" t="n">
        <f aca="false">CONVERT(G1317,"m^2","ha")</f>
        <v>0.1697851</v>
      </c>
      <c r="K1317" s="0" t="b">
        <f aca="false">IF(J1317&gt;(I1317*2),((ROUNDDOWN(J1317/I1317,0))-1))</f>
        <v>0</v>
      </c>
    </row>
    <row r="1318" customFormat="false" ht="12.75" hidden="false" customHeight="false" outlineLevel="0" collapsed="false">
      <c r="A1318" s="5" t="n">
        <v>2570</v>
      </c>
      <c r="B1318" s="6" t="s">
        <v>3423</v>
      </c>
      <c r="C1318" s="6" t="s">
        <v>12</v>
      </c>
      <c r="D1318" s="6" t="s">
        <v>3424</v>
      </c>
      <c r="E1318" s="6" t="s">
        <v>14</v>
      </c>
      <c r="F1318" s="6" t="n">
        <v>11892.49283844</v>
      </c>
      <c r="G1318" s="6" t="n">
        <v>11892.493</v>
      </c>
      <c r="H1318" s="6" t="s">
        <v>792</v>
      </c>
      <c r="I1318" s="0" t="n">
        <v>0.4</v>
      </c>
      <c r="J1318" s="0" t="n">
        <f aca="false">CONVERT(G1318,"m^2","ha")</f>
        <v>1.1892493</v>
      </c>
      <c r="K1318" s="0" t="n">
        <f aca="false">IF(J1318&gt;(I1318*2),((ROUNDDOWN(J1318/I1318,0))-1))</f>
        <v>1</v>
      </c>
    </row>
    <row r="1319" customFormat="false" ht="12.75" hidden="false" customHeight="false" outlineLevel="0" collapsed="false">
      <c r="A1319" s="5" t="n">
        <v>2571</v>
      </c>
      <c r="B1319" s="6" t="s">
        <v>3425</v>
      </c>
      <c r="C1319" s="6" t="s">
        <v>12</v>
      </c>
      <c r="D1319" s="6" t="s">
        <v>3426</v>
      </c>
      <c r="E1319" s="6" t="s">
        <v>14</v>
      </c>
      <c r="F1319" s="6" t="n">
        <v>3898.9510832</v>
      </c>
      <c r="G1319" s="6" t="n">
        <v>3898.951</v>
      </c>
      <c r="H1319" s="6" t="s">
        <v>792</v>
      </c>
      <c r="I1319" s="0" t="n">
        <v>0.4</v>
      </c>
      <c r="J1319" s="0" t="n">
        <f aca="false">CONVERT(G1319,"m^2","ha")</f>
        <v>0.3898951</v>
      </c>
      <c r="K1319" s="0" t="b">
        <f aca="false">IF(J1319&gt;(I1319*2),((ROUNDDOWN(J1319/I1319,0))-1))</f>
        <v>0</v>
      </c>
    </row>
    <row r="1320" customFormat="false" ht="12.75" hidden="false" customHeight="false" outlineLevel="0" collapsed="false">
      <c r="A1320" s="5" t="n">
        <v>2573</v>
      </c>
      <c r="B1320" s="6" t="s">
        <v>3427</v>
      </c>
      <c r="C1320" s="6" t="s">
        <v>12</v>
      </c>
      <c r="D1320" s="6" t="s">
        <v>3428</v>
      </c>
      <c r="E1320" s="6" t="s">
        <v>14</v>
      </c>
      <c r="F1320" s="6" t="n">
        <v>3051.842155555</v>
      </c>
      <c r="G1320" s="6" t="n">
        <v>3051.842</v>
      </c>
      <c r="H1320" s="6" t="s">
        <v>792</v>
      </c>
      <c r="I1320" s="0" t="n">
        <v>0.4</v>
      </c>
      <c r="J1320" s="0" t="n">
        <f aca="false">CONVERT(G1320,"m^2","ha")</f>
        <v>0.3051842</v>
      </c>
      <c r="K1320" s="0" t="b">
        <f aca="false">IF(J1320&gt;(I1320*2),((ROUNDDOWN(J1320/I1320,0))-1))</f>
        <v>0</v>
      </c>
    </row>
    <row r="1321" customFormat="false" ht="12.75" hidden="false" customHeight="false" outlineLevel="0" collapsed="false">
      <c r="A1321" s="5" t="n">
        <v>2575</v>
      </c>
      <c r="B1321" s="6" t="s">
        <v>3429</v>
      </c>
      <c r="C1321" s="6" t="s">
        <v>12</v>
      </c>
      <c r="D1321" s="6" t="s">
        <v>3430</v>
      </c>
      <c r="E1321" s="6" t="s">
        <v>14</v>
      </c>
      <c r="F1321" s="6" t="n">
        <v>1901.79128828</v>
      </c>
      <c r="G1321" s="6" t="n">
        <v>1901.791</v>
      </c>
      <c r="H1321" s="6" t="s">
        <v>792</v>
      </c>
      <c r="I1321" s="0" t="n">
        <v>0.4</v>
      </c>
      <c r="J1321" s="0" t="n">
        <f aca="false">CONVERT(G1321,"m^2","ha")</f>
        <v>0.1901791</v>
      </c>
      <c r="K1321" s="0" t="b">
        <f aca="false">IF(J1321&gt;(I1321*2),((ROUNDDOWN(J1321/I1321,0))-1))</f>
        <v>0</v>
      </c>
    </row>
    <row r="1322" customFormat="false" ht="12.75" hidden="false" customHeight="false" outlineLevel="0" collapsed="false">
      <c r="A1322" s="5" t="n">
        <v>2577</v>
      </c>
      <c r="B1322" s="6" t="s">
        <v>3431</v>
      </c>
      <c r="C1322" s="6" t="s">
        <v>12</v>
      </c>
      <c r="D1322" s="6" t="s">
        <v>3432</v>
      </c>
      <c r="E1322" s="6" t="s">
        <v>14</v>
      </c>
      <c r="F1322" s="6" t="n">
        <v>1708.84739503</v>
      </c>
      <c r="G1322" s="6" t="n">
        <v>1708.847</v>
      </c>
      <c r="H1322" s="6" t="s">
        <v>792</v>
      </c>
      <c r="I1322" s="0" t="n">
        <v>0.4</v>
      </c>
      <c r="J1322" s="0" t="n">
        <f aca="false">CONVERT(G1322,"m^2","ha")</f>
        <v>0.1708847</v>
      </c>
      <c r="K1322" s="0" t="b">
        <f aca="false">IF(J1322&gt;(I1322*2),((ROUNDDOWN(J1322/I1322,0))-1))</f>
        <v>0</v>
      </c>
    </row>
    <row r="1323" customFormat="false" ht="12.75" hidden="false" customHeight="false" outlineLevel="0" collapsed="false">
      <c r="A1323" s="5" t="n">
        <v>2583</v>
      </c>
      <c r="B1323" s="6" t="s">
        <v>3433</v>
      </c>
      <c r="C1323" s="6" t="s">
        <v>12</v>
      </c>
      <c r="D1323" s="6" t="s">
        <v>3434</v>
      </c>
      <c r="E1323" s="6" t="s">
        <v>14</v>
      </c>
      <c r="F1323" s="6" t="n">
        <v>1573.64863408</v>
      </c>
      <c r="G1323" s="6" t="n">
        <v>1573.649</v>
      </c>
      <c r="H1323" s="6" t="s">
        <v>792</v>
      </c>
      <c r="I1323" s="0" t="n">
        <v>0.4</v>
      </c>
      <c r="J1323" s="0" t="n">
        <f aca="false">CONVERT(G1323,"m^2","ha")</f>
        <v>0.1573649</v>
      </c>
      <c r="K1323" s="0" t="b">
        <f aca="false">IF(J1323&gt;(I1323*2),((ROUNDDOWN(J1323/I1323,0))-1))</f>
        <v>0</v>
      </c>
    </row>
    <row r="1324" customFormat="false" ht="12.75" hidden="false" customHeight="false" outlineLevel="0" collapsed="false">
      <c r="A1324" s="5" t="n">
        <v>2586</v>
      </c>
      <c r="B1324" s="6" t="s">
        <v>3435</v>
      </c>
      <c r="C1324" s="6" t="s">
        <v>12</v>
      </c>
      <c r="D1324" s="6" t="s">
        <v>3436</v>
      </c>
      <c r="E1324" s="6" t="s">
        <v>14</v>
      </c>
      <c r="F1324" s="6" t="n">
        <v>1706.32731441</v>
      </c>
      <c r="G1324" s="6" t="n">
        <v>1706.327</v>
      </c>
      <c r="H1324" s="6" t="s">
        <v>792</v>
      </c>
      <c r="I1324" s="0" t="n">
        <v>0.4</v>
      </c>
      <c r="J1324" s="0" t="n">
        <f aca="false">CONVERT(G1324,"m^2","ha")</f>
        <v>0.1706327</v>
      </c>
      <c r="K1324" s="0" t="b">
        <f aca="false">IF(J1324&gt;(I1324*2),((ROUNDDOWN(J1324/I1324,0))-1))</f>
        <v>0</v>
      </c>
    </row>
    <row r="1325" customFormat="false" ht="12.75" hidden="false" customHeight="false" outlineLevel="0" collapsed="false">
      <c r="A1325" s="5" t="n">
        <v>2588</v>
      </c>
      <c r="B1325" s="6" t="s">
        <v>3437</v>
      </c>
      <c r="C1325" s="6" t="s">
        <v>12</v>
      </c>
      <c r="D1325" s="6" t="s">
        <v>3438</v>
      </c>
      <c r="E1325" s="6" t="s">
        <v>14</v>
      </c>
      <c r="F1325" s="6" t="n">
        <v>4287.168655105</v>
      </c>
      <c r="G1325" s="6" t="n">
        <v>4287.169</v>
      </c>
      <c r="H1325" s="6" t="s">
        <v>792</v>
      </c>
      <c r="I1325" s="0" t="n">
        <v>0.4</v>
      </c>
      <c r="J1325" s="0" t="n">
        <f aca="false">CONVERT(G1325,"m^2","ha")</f>
        <v>0.4287169</v>
      </c>
      <c r="K1325" s="0" t="b">
        <f aca="false">IF(J1325&gt;(I1325*2),((ROUNDDOWN(J1325/I1325,0))-1))</f>
        <v>0</v>
      </c>
    </row>
    <row r="1326" customFormat="false" ht="12.75" hidden="false" customHeight="false" outlineLevel="0" collapsed="false">
      <c r="A1326" s="5" t="n">
        <v>2591</v>
      </c>
      <c r="B1326" s="6" t="s">
        <v>3439</v>
      </c>
      <c r="C1326" s="6" t="s">
        <v>89</v>
      </c>
      <c r="D1326" s="6" t="s">
        <v>3440</v>
      </c>
      <c r="E1326" s="6" t="s">
        <v>14</v>
      </c>
      <c r="F1326" s="6" t="n">
        <v>13329.79490015</v>
      </c>
      <c r="G1326" s="6" t="n">
        <v>13329.222</v>
      </c>
      <c r="H1326" s="6" t="s">
        <v>792</v>
      </c>
      <c r="I1326" s="0" t="n">
        <v>0.4</v>
      </c>
      <c r="J1326" s="0" t="n">
        <f aca="false">CONVERT(G1326,"m^2","ha")</f>
        <v>1.3329222</v>
      </c>
      <c r="K1326" s="0" t="n">
        <f aca="false">IF(J1326&gt;(I1326*2),((ROUNDDOWN(J1326/I1326,0))-1))</f>
        <v>2</v>
      </c>
    </row>
    <row r="1327" customFormat="false" ht="12.75" hidden="false" customHeight="false" outlineLevel="0" collapsed="false">
      <c r="A1327" s="5" t="n">
        <v>2592</v>
      </c>
      <c r="B1327" s="6" t="s">
        <v>3441</v>
      </c>
      <c r="C1327" s="6" t="s">
        <v>12</v>
      </c>
      <c r="D1327" s="6" t="s">
        <v>3442</v>
      </c>
      <c r="E1327" s="6" t="s">
        <v>14</v>
      </c>
      <c r="F1327" s="6" t="n">
        <v>1791.07452033</v>
      </c>
      <c r="G1327" s="6" t="n">
        <v>1791.075</v>
      </c>
      <c r="H1327" s="6" t="s">
        <v>792</v>
      </c>
      <c r="I1327" s="0" t="n">
        <v>0.4</v>
      </c>
      <c r="J1327" s="0" t="n">
        <f aca="false">CONVERT(G1327,"m^2","ha")</f>
        <v>0.1791075</v>
      </c>
      <c r="K1327" s="0" t="b">
        <f aca="false">IF(J1327&gt;(I1327*2),((ROUNDDOWN(J1327/I1327,0))-1))</f>
        <v>0</v>
      </c>
    </row>
    <row r="1328" customFormat="false" ht="12.75" hidden="false" customHeight="false" outlineLevel="0" collapsed="false">
      <c r="A1328" s="5" t="n">
        <v>2593</v>
      </c>
      <c r="B1328" s="6" t="s">
        <v>3443</v>
      </c>
      <c r="C1328" s="6" t="s">
        <v>89</v>
      </c>
      <c r="D1328" s="6" t="s">
        <v>3444</v>
      </c>
      <c r="E1328" s="6" t="s">
        <v>14</v>
      </c>
      <c r="F1328" s="6" t="n">
        <v>5730.68880929</v>
      </c>
      <c r="G1328" s="6" t="n">
        <v>5729.859</v>
      </c>
      <c r="H1328" s="6" t="s">
        <v>792</v>
      </c>
      <c r="I1328" s="0" t="n">
        <v>0.4</v>
      </c>
      <c r="J1328" s="0" t="n">
        <f aca="false">CONVERT(G1328,"m^2","ha")</f>
        <v>0.5729859</v>
      </c>
      <c r="K1328" s="0" t="b">
        <f aca="false">IF(J1328&gt;(I1328*2),((ROUNDDOWN(J1328/I1328,0))-1))</f>
        <v>0</v>
      </c>
    </row>
    <row r="1329" customFormat="false" ht="12.75" hidden="false" customHeight="false" outlineLevel="0" collapsed="false">
      <c r="A1329" s="5" t="n">
        <v>2595</v>
      </c>
      <c r="B1329" s="6" t="s">
        <v>3445</v>
      </c>
      <c r="C1329" s="6" t="s">
        <v>12</v>
      </c>
      <c r="D1329" s="6" t="s">
        <v>3446</v>
      </c>
      <c r="E1329" s="6" t="s">
        <v>14</v>
      </c>
      <c r="F1329" s="6" t="n">
        <v>1583.072963515</v>
      </c>
      <c r="G1329" s="6" t="n">
        <v>1583.073</v>
      </c>
      <c r="H1329" s="6" t="s">
        <v>792</v>
      </c>
      <c r="I1329" s="0" t="n">
        <v>0.4</v>
      </c>
      <c r="J1329" s="0" t="n">
        <f aca="false">CONVERT(G1329,"m^2","ha")</f>
        <v>0.1583073</v>
      </c>
      <c r="K1329" s="0" t="b">
        <f aca="false">IF(J1329&gt;(I1329*2),((ROUNDDOWN(J1329/I1329,0))-1))</f>
        <v>0</v>
      </c>
    </row>
    <row r="1330" customFormat="false" ht="12.75" hidden="false" customHeight="false" outlineLevel="0" collapsed="false">
      <c r="A1330" s="5" t="n">
        <v>2596</v>
      </c>
      <c r="B1330" s="6" t="s">
        <v>3447</v>
      </c>
      <c r="C1330" s="6" t="s">
        <v>12</v>
      </c>
      <c r="D1330" s="6" t="s">
        <v>3448</v>
      </c>
      <c r="E1330" s="6" t="s">
        <v>14</v>
      </c>
      <c r="F1330" s="6" t="n">
        <v>11717.929081685</v>
      </c>
      <c r="G1330" s="6" t="n">
        <v>11717.929</v>
      </c>
      <c r="H1330" s="6" t="s">
        <v>792</v>
      </c>
      <c r="I1330" s="0" t="n">
        <v>0.4</v>
      </c>
      <c r="J1330" s="0" t="n">
        <f aca="false">CONVERT(G1330,"m^2","ha")</f>
        <v>1.1717929</v>
      </c>
      <c r="K1330" s="0" t="n">
        <f aca="false">IF(J1330&gt;(I1330*2),((ROUNDDOWN(J1330/I1330,0))-1))</f>
        <v>1</v>
      </c>
    </row>
    <row r="1331" customFormat="false" ht="12.75" hidden="false" customHeight="false" outlineLevel="0" collapsed="false">
      <c r="A1331" s="5" t="n">
        <v>2633</v>
      </c>
      <c r="B1331" s="6" t="s">
        <v>3449</v>
      </c>
      <c r="C1331" s="6" t="s">
        <v>12</v>
      </c>
      <c r="D1331" s="6" t="s">
        <v>3450</v>
      </c>
      <c r="E1331" s="6" t="s">
        <v>3451</v>
      </c>
      <c r="F1331" s="6" t="n">
        <v>163.40973883</v>
      </c>
      <c r="G1331" s="6" t="n">
        <v>163.41</v>
      </c>
      <c r="H1331" s="6" t="s">
        <v>792</v>
      </c>
      <c r="I1331" s="0" t="n">
        <v>0.4</v>
      </c>
      <c r="J1331" s="0" t="n">
        <f aca="false">CONVERT(G1331,"m^2","ha")</f>
        <v>0.016341</v>
      </c>
      <c r="K1331" s="0" t="b">
        <f aca="false">IF(J1331&gt;(I1331*2),((ROUNDDOWN(J1331/I1331,0))-1))</f>
        <v>0</v>
      </c>
    </row>
    <row r="1332" customFormat="false" ht="12.75" hidden="false" customHeight="false" outlineLevel="0" collapsed="false">
      <c r="A1332" s="5" t="n">
        <v>2695</v>
      </c>
      <c r="B1332" s="6" t="s">
        <v>3452</v>
      </c>
      <c r="C1332" s="6" t="s">
        <v>12</v>
      </c>
      <c r="D1332" s="6" t="s">
        <v>3453</v>
      </c>
      <c r="E1332" s="6" t="s">
        <v>14</v>
      </c>
      <c r="F1332" s="6" t="n">
        <v>954.629254895</v>
      </c>
      <c r="G1332" s="6" t="n">
        <v>954.629</v>
      </c>
      <c r="H1332" s="6" t="s">
        <v>792</v>
      </c>
      <c r="I1332" s="0" t="n">
        <v>0.4</v>
      </c>
      <c r="J1332" s="0" t="n">
        <f aca="false">CONVERT(G1332,"m^2","ha")</f>
        <v>0.0954629</v>
      </c>
      <c r="K1332" s="0" t="b">
        <f aca="false">IF(J1332&gt;(I1332*2),((ROUNDDOWN(J1332/I1332,0))-1))</f>
        <v>0</v>
      </c>
    </row>
    <row r="1333" customFormat="false" ht="12.75" hidden="false" customHeight="false" outlineLevel="0" collapsed="false">
      <c r="A1333" s="5" t="n">
        <v>2719</v>
      </c>
      <c r="B1333" s="6" t="s">
        <v>3454</v>
      </c>
      <c r="C1333" s="6" t="s">
        <v>12</v>
      </c>
      <c r="D1333" s="6" t="s">
        <v>3455</v>
      </c>
      <c r="E1333" s="6" t="s">
        <v>14</v>
      </c>
      <c r="F1333" s="6" t="n">
        <v>4081.90145055</v>
      </c>
      <c r="G1333" s="6" t="n">
        <v>4081.901</v>
      </c>
      <c r="H1333" s="6" t="s">
        <v>792</v>
      </c>
      <c r="I1333" s="0" t="n">
        <v>0.4</v>
      </c>
      <c r="J1333" s="0" t="n">
        <f aca="false">CONVERT(G1333,"m^2","ha")</f>
        <v>0.4081901</v>
      </c>
      <c r="K1333" s="0" t="b">
        <f aca="false">IF(J1333&gt;(I1333*2),((ROUNDDOWN(J1333/I1333,0))-1))</f>
        <v>0</v>
      </c>
    </row>
    <row r="1334" customFormat="false" ht="12.75" hidden="false" customHeight="false" outlineLevel="0" collapsed="false">
      <c r="A1334" s="5" t="n">
        <v>2722</v>
      </c>
      <c r="B1334" s="6" t="s">
        <v>3456</v>
      </c>
      <c r="C1334" s="6" t="s">
        <v>12</v>
      </c>
      <c r="D1334" s="6" t="s">
        <v>3457</v>
      </c>
      <c r="E1334" s="6" t="s">
        <v>14</v>
      </c>
      <c r="F1334" s="6" t="n">
        <v>1591.39978589</v>
      </c>
      <c r="G1334" s="6" t="n">
        <v>1592.168</v>
      </c>
      <c r="H1334" s="6" t="s">
        <v>792</v>
      </c>
      <c r="I1334" s="0" t="n">
        <v>0.4</v>
      </c>
      <c r="J1334" s="0" t="n">
        <f aca="false">CONVERT(G1334,"m^2","ha")</f>
        <v>0.1592168</v>
      </c>
      <c r="K1334" s="0" t="b">
        <f aca="false">IF(J1334&gt;(I1334*2),((ROUNDDOWN(J1334/I1334,0))-1))</f>
        <v>0</v>
      </c>
    </row>
    <row r="1335" customFormat="false" ht="12.75" hidden="false" customHeight="false" outlineLevel="0" collapsed="false">
      <c r="A1335" s="5" t="n">
        <v>2723</v>
      </c>
      <c r="B1335" s="6" t="s">
        <v>3458</v>
      </c>
      <c r="C1335" s="6" t="s">
        <v>12</v>
      </c>
      <c r="D1335" s="6" t="s">
        <v>3459</v>
      </c>
      <c r="E1335" s="6" t="s">
        <v>14</v>
      </c>
      <c r="F1335" s="6" t="n">
        <v>5185.272732385</v>
      </c>
      <c r="G1335" s="6" t="n">
        <v>5185.495</v>
      </c>
      <c r="H1335" s="6" t="s">
        <v>792</v>
      </c>
      <c r="I1335" s="0" t="n">
        <v>0.4</v>
      </c>
      <c r="J1335" s="0" t="n">
        <f aca="false">CONVERT(G1335,"m^2","ha")</f>
        <v>0.5185495</v>
      </c>
      <c r="K1335" s="0" t="b">
        <f aca="false">IF(J1335&gt;(I1335*2),((ROUNDDOWN(J1335/I1335,0))-1))</f>
        <v>0</v>
      </c>
    </row>
    <row r="1336" customFormat="false" ht="12.75" hidden="false" customHeight="false" outlineLevel="0" collapsed="false">
      <c r="A1336" s="5" t="n">
        <v>2724</v>
      </c>
      <c r="B1336" s="6" t="s">
        <v>3460</v>
      </c>
      <c r="C1336" s="6" t="s">
        <v>12</v>
      </c>
      <c r="D1336" s="6" t="s">
        <v>3461</v>
      </c>
      <c r="E1336" s="6" t="s">
        <v>14</v>
      </c>
      <c r="F1336" s="6" t="n">
        <v>13726.9702679</v>
      </c>
      <c r="G1336" s="6" t="n">
        <v>13726.554</v>
      </c>
      <c r="H1336" s="6" t="s">
        <v>792</v>
      </c>
      <c r="I1336" s="0" t="n">
        <v>0.4</v>
      </c>
      <c r="J1336" s="0" t="n">
        <f aca="false">CONVERT(G1336,"m^2","ha")</f>
        <v>1.3726554</v>
      </c>
      <c r="K1336" s="0" t="n">
        <f aca="false">IF(J1336&gt;(I1336*2),((ROUNDDOWN(J1336/I1336,0))-1))</f>
        <v>2</v>
      </c>
    </row>
    <row r="1337" customFormat="false" ht="12.75" hidden="false" customHeight="false" outlineLevel="0" collapsed="false">
      <c r="A1337" s="5" t="n">
        <v>2725</v>
      </c>
      <c r="B1337" s="6" t="s">
        <v>3462</v>
      </c>
      <c r="C1337" s="6" t="s">
        <v>89</v>
      </c>
      <c r="D1337" s="6" t="s">
        <v>3463</v>
      </c>
      <c r="E1337" s="6" t="s">
        <v>14</v>
      </c>
      <c r="F1337" s="6" t="n">
        <v>2218.489541455</v>
      </c>
      <c r="G1337" s="6" t="n">
        <v>2218.49</v>
      </c>
      <c r="H1337" s="6" t="s">
        <v>792</v>
      </c>
      <c r="I1337" s="0" t="n">
        <v>0.4</v>
      </c>
      <c r="J1337" s="0" t="n">
        <f aca="false">CONVERT(G1337,"m^2","ha")</f>
        <v>0.221849</v>
      </c>
      <c r="K1337" s="0" t="b">
        <f aca="false">IF(J1337&gt;(I1337*2),((ROUNDDOWN(J1337/I1337,0))-1))</f>
        <v>0</v>
      </c>
    </row>
    <row r="1338" customFormat="false" ht="12.75" hidden="false" customHeight="false" outlineLevel="0" collapsed="false">
      <c r="A1338" s="5" t="n">
        <v>2726</v>
      </c>
      <c r="B1338" s="6" t="s">
        <v>3464</v>
      </c>
      <c r="C1338" s="6" t="s">
        <v>89</v>
      </c>
      <c r="D1338" s="6" t="s">
        <v>3465</v>
      </c>
      <c r="E1338" s="6" t="s">
        <v>14</v>
      </c>
      <c r="F1338" s="6" t="n">
        <v>1922.762380525</v>
      </c>
      <c r="G1338" s="6" t="n">
        <v>1922.762</v>
      </c>
      <c r="H1338" s="6" t="s">
        <v>792</v>
      </c>
      <c r="I1338" s="0" t="n">
        <v>0.4</v>
      </c>
      <c r="J1338" s="0" t="n">
        <f aca="false">CONVERT(G1338,"m^2","ha")</f>
        <v>0.1922762</v>
      </c>
      <c r="K1338" s="0" t="b">
        <f aca="false">IF(J1338&gt;(I1338*2),((ROUNDDOWN(J1338/I1338,0))-1))</f>
        <v>0</v>
      </c>
    </row>
    <row r="1339" customFormat="false" ht="12.75" hidden="false" customHeight="false" outlineLevel="0" collapsed="false">
      <c r="A1339" s="5" t="n">
        <v>2727</v>
      </c>
      <c r="B1339" s="6" t="s">
        <v>3466</v>
      </c>
      <c r="C1339" s="6" t="s">
        <v>12</v>
      </c>
      <c r="D1339" s="6" t="s">
        <v>3467</v>
      </c>
      <c r="E1339" s="6" t="s">
        <v>14</v>
      </c>
      <c r="F1339" s="6" t="n">
        <v>2406.35456462</v>
      </c>
      <c r="G1339" s="6" t="n">
        <v>2406.355</v>
      </c>
      <c r="H1339" s="6" t="s">
        <v>792</v>
      </c>
      <c r="I1339" s="0" t="n">
        <v>0.4</v>
      </c>
      <c r="J1339" s="0" t="n">
        <f aca="false">CONVERT(G1339,"m^2","ha")</f>
        <v>0.2406355</v>
      </c>
      <c r="K1339" s="0" t="b">
        <f aca="false">IF(J1339&gt;(I1339*2),((ROUNDDOWN(J1339/I1339,0))-1))</f>
        <v>0</v>
      </c>
    </row>
    <row r="1340" customFormat="false" ht="12.75" hidden="false" customHeight="false" outlineLevel="0" collapsed="false">
      <c r="A1340" s="5" t="n">
        <v>2728</v>
      </c>
      <c r="B1340" s="6" t="s">
        <v>3468</v>
      </c>
      <c r="C1340" s="6" t="s">
        <v>12</v>
      </c>
      <c r="D1340" s="6" t="s">
        <v>3469</v>
      </c>
      <c r="E1340" s="6" t="s">
        <v>14</v>
      </c>
      <c r="F1340" s="6" t="n">
        <v>864.00578439</v>
      </c>
      <c r="G1340" s="6" t="n">
        <v>864.006</v>
      </c>
      <c r="H1340" s="6" t="s">
        <v>792</v>
      </c>
      <c r="I1340" s="0" t="n">
        <v>0.4</v>
      </c>
      <c r="J1340" s="0" t="n">
        <f aca="false">CONVERT(G1340,"m^2","ha")</f>
        <v>0.0864006</v>
      </c>
      <c r="K1340" s="0" t="b">
        <f aca="false">IF(J1340&gt;(I1340*2),((ROUNDDOWN(J1340/I1340,0))-1))</f>
        <v>0</v>
      </c>
    </row>
    <row r="1341" customFormat="false" ht="12.75" hidden="false" customHeight="false" outlineLevel="0" collapsed="false">
      <c r="A1341" s="5" t="n">
        <v>2729</v>
      </c>
      <c r="B1341" s="6" t="s">
        <v>3470</v>
      </c>
      <c r="C1341" s="6" t="s">
        <v>12</v>
      </c>
      <c r="D1341" s="6" t="s">
        <v>3471</v>
      </c>
      <c r="E1341" s="6" t="s">
        <v>14</v>
      </c>
      <c r="F1341" s="6" t="n">
        <v>1540.24206388</v>
      </c>
      <c r="G1341" s="6" t="n">
        <v>1540.242</v>
      </c>
      <c r="H1341" s="6" t="s">
        <v>792</v>
      </c>
      <c r="I1341" s="0" t="n">
        <v>0.4</v>
      </c>
      <c r="J1341" s="0" t="n">
        <f aca="false">CONVERT(G1341,"m^2","ha")</f>
        <v>0.1540242</v>
      </c>
      <c r="K1341" s="0" t="b">
        <f aca="false">IF(J1341&gt;(I1341*2),((ROUNDDOWN(J1341/I1341,0))-1))</f>
        <v>0</v>
      </c>
    </row>
    <row r="1342" customFormat="false" ht="12.75" hidden="false" customHeight="false" outlineLevel="0" collapsed="false">
      <c r="A1342" s="5" t="n">
        <v>2730</v>
      </c>
      <c r="B1342" s="6" t="s">
        <v>3472</v>
      </c>
      <c r="C1342" s="6" t="s">
        <v>89</v>
      </c>
      <c r="D1342" s="6" t="s">
        <v>3473</v>
      </c>
      <c r="E1342" s="6" t="s">
        <v>14</v>
      </c>
      <c r="F1342" s="6" t="n">
        <v>7812.03946729</v>
      </c>
      <c r="G1342" s="6" t="n">
        <v>7812.039</v>
      </c>
      <c r="H1342" s="6" t="s">
        <v>792</v>
      </c>
      <c r="I1342" s="0" t="n">
        <v>0.4</v>
      </c>
      <c r="J1342" s="0" t="n">
        <f aca="false">CONVERT(G1342,"m^2","ha")</f>
        <v>0.7812039</v>
      </c>
      <c r="K1342" s="0" t="b">
        <f aca="false">IF(J1342&gt;(I1342*2),((ROUNDDOWN(J1342/I1342,0))-1))</f>
        <v>0</v>
      </c>
    </row>
    <row r="1343" customFormat="false" ht="12.75" hidden="false" customHeight="false" outlineLevel="0" collapsed="false">
      <c r="A1343" s="5" t="n">
        <v>2731</v>
      </c>
      <c r="B1343" s="6" t="s">
        <v>3474</v>
      </c>
      <c r="C1343" s="6" t="s">
        <v>12</v>
      </c>
      <c r="D1343" s="6" t="s">
        <v>3475</v>
      </c>
      <c r="E1343" s="6" t="s">
        <v>14</v>
      </c>
      <c r="F1343" s="6" t="n">
        <v>463.07711005</v>
      </c>
      <c r="G1343" s="6" t="n">
        <v>463.077</v>
      </c>
      <c r="H1343" s="6" t="s">
        <v>792</v>
      </c>
      <c r="I1343" s="0" t="n">
        <v>0.4</v>
      </c>
      <c r="J1343" s="0" t="n">
        <f aca="false">CONVERT(G1343,"m^2","ha")</f>
        <v>0.0463077</v>
      </c>
      <c r="K1343" s="0" t="b">
        <f aca="false">IF(J1343&gt;(I1343*2),((ROUNDDOWN(J1343/I1343,0))-1))</f>
        <v>0</v>
      </c>
    </row>
    <row r="1344" customFormat="false" ht="12.75" hidden="false" customHeight="false" outlineLevel="0" collapsed="false">
      <c r="A1344" s="5" t="n">
        <v>2732</v>
      </c>
      <c r="B1344" s="6" t="s">
        <v>3476</v>
      </c>
      <c r="C1344" s="6" t="s">
        <v>12</v>
      </c>
      <c r="D1344" s="6" t="s">
        <v>3477</v>
      </c>
      <c r="E1344" s="6" t="s">
        <v>14</v>
      </c>
      <c r="F1344" s="6" t="n">
        <v>1327.33676699</v>
      </c>
      <c r="G1344" s="6" t="n">
        <v>1327.337</v>
      </c>
      <c r="H1344" s="6" t="s">
        <v>792</v>
      </c>
      <c r="I1344" s="0" t="n">
        <v>0.4</v>
      </c>
      <c r="J1344" s="0" t="n">
        <f aca="false">CONVERT(G1344,"m^2","ha")</f>
        <v>0.1327337</v>
      </c>
      <c r="K1344" s="0" t="b">
        <f aca="false">IF(J1344&gt;(I1344*2),((ROUNDDOWN(J1344/I1344,0))-1))</f>
        <v>0</v>
      </c>
    </row>
    <row r="1345" customFormat="false" ht="12.75" hidden="false" customHeight="false" outlineLevel="0" collapsed="false">
      <c r="A1345" s="5" t="n">
        <v>2733</v>
      </c>
      <c r="B1345" s="6" t="s">
        <v>3478</v>
      </c>
      <c r="C1345" s="6" t="s">
        <v>12</v>
      </c>
      <c r="D1345" s="6" t="s">
        <v>3479</v>
      </c>
      <c r="E1345" s="6" t="s">
        <v>14</v>
      </c>
      <c r="F1345" s="6" t="n">
        <v>8694.048836435</v>
      </c>
      <c r="G1345" s="6" t="n">
        <v>8694.049</v>
      </c>
      <c r="H1345" s="6" t="s">
        <v>792</v>
      </c>
      <c r="I1345" s="0" t="n">
        <v>0.4</v>
      </c>
      <c r="J1345" s="0" t="n">
        <f aca="false">CONVERT(G1345,"m^2","ha")</f>
        <v>0.8694049</v>
      </c>
      <c r="K1345" s="0" t="n">
        <f aca="false">IF(J1345&gt;(I1345*2),((ROUNDDOWN(J1345/I1345,0))-1))</f>
        <v>1</v>
      </c>
    </row>
    <row r="1346" customFormat="false" ht="12.75" hidden="false" customHeight="false" outlineLevel="0" collapsed="false">
      <c r="A1346" s="5" t="n">
        <v>2734</v>
      </c>
      <c r="B1346" s="6" t="s">
        <v>3480</v>
      </c>
      <c r="C1346" s="6" t="s">
        <v>12</v>
      </c>
      <c r="D1346" s="6" t="s">
        <v>3481</v>
      </c>
      <c r="E1346" s="6" t="s">
        <v>14</v>
      </c>
      <c r="F1346" s="6" t="n">
        <v>1484.48516243</v>
      </c>
      <c r="G1346" s="6" t="n">
        <v>1484.485</v>
      </c>
      <c r="H1346" s="6" t="s">
        <v>792</v>
      </c>
      <c r="I1346" s="0" t="n">
        <v>0.4</v>
      </c>
      <c r="J1346" s="0" t="n">
        <f aca="false">CONVERT(G1346,"m^2","ha")</f>
        <v>0.1484485</v>
      </c>
      <c r="K1346" s="0" t="b">
        <f aca="false">IF(J1346&gt;(I1346*2),((ROUNDDOWN(J1346/I1346,0))-1))</f>
        <v>0</v>
      </c>
    </row>
    <row r="1347" customFormat="false" ht="12.75" hidden="false" customHeight="false" outlineLevel="0" collapsed="false">
      <c r="A1347" s="5" t="n">
        <v>2735</v>
      </c>
      <c r="B1347" s="6" t="s">
        <v>3482</v>
      </c>
      <c r="C1347" s="6" t="s">
        <v>12</v>
      </c>
      <c r="D1347" s="6" t="s">
        <v>3483</v>
      </c>
      <c r="E1347" s="6" t="s">
        <v>14</v>
      </c>
      <c r="F1347" s="6" t="n">
        <v>3064.73718197</v>
      </c>
      <c r="G1347" s="6" t="n">
        <v>3064.737</v>
      </c>
      <c r="H1347" s="6" t="s">
        <v>792</v>
      </c>
      <c r="I1347" s="0" t="n">
        <v>0.4</v>
      </c>
      <c r="J1347" s="0" t="n">
        <f aca="false">CONVERT(G1347,"m^2","ha")</f>
        <v>0.3064737</v>
      </c>
      <c r="K1347" s="0" t="b">
        <f aca="false">IF(J1347&gt;(I1347*2),((ROUNDDOWN(J1347/I1347,0))-1))</f>
        <v>0</v>
      </c>
    </row>
    <row r="1348" customFormat="false" ht="12.75" hidden="false" customHeight="false" outlineLevel="0" collapsed="false">
      <c r="A1348" s="5" t="n">
        <v>2736</v>
      </c>
      <c r="B1348" s="6" t="s">
        <v>3484</v>
      </c>
      <c r="C1348" s="6" t="s">
        <v>12</v>
      </c>
      <c r="D1348" s="6" t="s">
        <v>3485</v>
      </c>
      <c r="E1348" s="6" t="s">
        <v>14</v>
      </c>
      <c r="F1348" s="6" t="n">
        <v>9469.26833458</v>
      </c>
      <c r="G1348" s="6" t="n">
        <v>9469.268</v>
      </c>
      <c r="H1348" s="6" t="s">
        <v>792</v>
      </c>
      <c r="I1348" s="0" t="n">
        <v>0.4</v>
      </c>
      <c r="J1348" s="0" t="n">
        <f aca="false">CONVERT(G1348,"m^2","ha")</f>
        <v>0.9469268</v>
      </c>
      <c r="K1348" s="0" t="n">
        <f aca="false">IF(J1348&gt;(I1348*2),((ROUNDDOWN(J1348/I1348,0))-1))</f>
        <v>1</v>
      </c>
    </row>
    <row r="1349" customFormat="false" ht="12.75" hidden="false" customHeight="false" outlineLevel="0" collapsed="false">
      <c r="A1349" s="5" t="n">
        <v>2737</v>
      </c>
      <c r="B1349" s="6" t="s">
        <v>3486</v>
      </c>
      <c r="C1349" s="6" t="s">
        <v>12</v>
      </c>
      <c r="D1349" s="6" t="s">
        <v>3487</v>
      </c>
      <c r="E1349" s="6" t="s">
        <v>14</v>
      </c>
      <c r="F1349" s="6" t="n">
        <v>14445.36385843</v>
      </c>
      <c r="G1349" s="6" t="n">
        <v>14445.364</v>
      </c>
      <c r="H1349" s="6" t="s">
        <v>792</v>
      </c>
      <c r="I1349" s="0" t="n">
        <v>0.4</v>
      </c>
      <c r="J1349" s="0" t="n">
        <f aca="false">CONVERT(G1349,"m^2","ha")</f>
        <v>1.4445364</v>
      </c>
      <c r="K1349" s="0" t="n">
        <f aca="false">IF(J1349&gt;(I1349*2),((ROUNDDOWN(J1349/I1349,0))-1))</f>
        <v>2</v>
      </c>
    </row>
    <row r="1350" customFormat="false" ht="12.75" hidden="false" customHeight="false" outlineLevel="0" collapsed="false">
      <c r="A1350" s="5" t="n">
        <v>2738</v>
      </c>
      <c r="B1350" s="6" t="s">
        <v>3488</v>
      </c>
      <c r="C1350" s="6" t="s">
        <v>12</v>
      </c>
      <c r="D1350" s="6" t="s">
        <v>3489</v>
      </c>
      <c r="E1350" s="6" t="s">
        <v>14</v>
      </c>
      <c r="F1350" s="6" t="n">
        <v>759.47289952</v>
      </c>
      <c r="G1350" s="6" t="n">
        <v>759.473</v>
      </c>
      <c r="H1350" s="6" t="s">
        <v>792</v>
      </c>
      <c r="I1350" s="0" t="n">
        <v>0.4</v>
      </c>
      <c r="J1350" s="0" t="n">
        <f aca="false">CONVERT(G1350,"m^2","ha")</f>
        <v>0.0759473</v>
      </c>
      <c r="K1350" s="0" t="b">
        <f aca="false">IF(J1350&gt;(I1350*2),((ROUNDDOWN(J1350/I1350,0))-1))</f>
        <v>0</v>
      </c>
    </row>
    <row r="1351" customFormat="false" ht="12.75" hidden="false" customHeight="false" outlineLevel="0" collapsed="false">
      <c r="A1351" s="5" t="n">
        <v>2739</v>
      </c>
      <c r="B1351" s="6" t="s">
        <v>3490</v>
      </c>
      <c r="C1351" s="6" t="s">
        <v>12</v>
      </c>
      <c r="D1351" s="6" t="s">
        <v>3491</v>
      </c>
      <c r="E1351" s="6" t="s">
        <v>14</v>
      </c>
      <c r="F1351" s="6" t="n">
        <v>847.696412915</v>
      </c>
      <c r="G1351" s="6" t="n">
        <v>847.696</v>
      </c>
      <c r="H1351" s="6" t="s">
        <v>792</v>
      </c>
      <c r="I1351" s="0" t="n">
        <v>0.4</v>
      </c>
      <c r="J1351" s="0" t="n">
        <f aca="false">CONVERT(G1351,"m^2","ha")</f>
        <v>0.0847696</v>
      </c>
      <c r="K1351" s="0" t="b">
        <f aca="false">IF(J1351&gt;(I1351*2),((ROUNDDOWN(J1351/I1351,0))-1))</f>
        <v>0</v>
      </c>
    </row>
    <row r="1352" customFormat="false" ht="12.75" hidden="false" customHeight="false" outlineLevel="0" collapsed="false">
      <c r="A1352" s="5" t="n">
        <v>2740</v>
      </c>
      <c r="B1352" s="6" t="s">
        <v>3492</v>
      </c>
      <c r="C1352" s="6" t="s">
        <v>12</v>
      </c>
      <c r="D1352" s="6" t="s">
        <v>3493</v>
      </c>
      <c r="E1352" s="6" t="s">
        <v>14</v>
      </c>
      <c r="F1352" s="6" t="n">
        <v>4960.75135376</v>
      </c>
      <c r="G1352" s="6" t="n">
        <v>4960.125</v>
      </c>
      <c r="H1352" s="6" t="s">
        <v>792</v>
      </c>
      <c r="I1352" s="0" t="n">
        <v>0.4</v>
      </c>
      <c r="J1352" s="0" t="n">
        <f aca="false">CONVERT(G1352,"m^2","ha")</f>
        <v>0.4960125</v>
      </c>
      <c r="K1352" s="0" t="b">
        <f aca="false">IF(J1352&gt;(I1352*2),((ROUNDDOWN(J1352/I1352,0))-1))</f>
        <v>0</v>
      </c>
    </row>
    <row r="1353" customFormat="false" ht="12.75" hidden="false" customHeight="false" outlineLevel="0" collapsed="false">
      <c r="A1353" s="5" t="n">
        <v>2741</v>
      </c>
      <c r="B1353" s="6" t="s">
        <v>3494</v>
      </c>
      <c r="C1353" s="6" t="s">
        <v>12</v>
      </c>
      <c r="D1353" s="6" t="s">
        <v>3495</v>
      </c>
      <c r="E1353" s="6" t="s">
        <v>14</v>
      </c>
      <c r="F1353" s="6" t="n">
        <v>962.732105215</v>
      </c>
      <c r="G1353" s="6" t="n">
        <v>962.857</v>
      </c>
      <c r="H1353" s="6" t="s">
        <v>792</v>
      </c>
      <c r="I1353" s="0" t="n">
        <v>0.4</v>
      </c>
      <c r="J1353" s="0" t="n">
        <f aca="false">CONVERT(G1353,"m^2","ha")</f>
        <v>0.0962857</v>
      </c>
      <c r="K1353" s="0" t="b">
        <f aca="false">IF(J1353&gt;(I1353*2),((ROUNDDOWN(J1353/I1353,0))-1))</f>
        <v>0</v>
      </c>
    </row>
    <row r="1354" customFormat="false" ht="12.75" hidden="false" customHeight="false" outlineLevel="0" collapsed="false">
      <c r="A1354" s="5" t="n">
        <v>2742</v>
      </c>
      <c r="B1354" s="6" t="s">
        <v>3496</v>
      </c>
      <c r="C1354" s="6" t="s">
        <v>12</v>
      </c>
      <c r="D1354" s="6" t="s">
        <v>3497</v>
      </c>
      <c r="E1354" s="6" t="s">
        <v>14</v>
      </c>
      <c r="F1354" s="6" t="n">
        <v>969.74204568</v>
      </c>
      <c r="G1354" s="6" t="n">
        <v>969.742</v>
      </c>
      <c r="H1354" s="6" t="s">
        <v>792</v>
      </c>
      <c r="I1354" s="0" t="n">
        <v>0.4</v>
      </c>
      <c r="J1354" s="0" t="n">
        <f aca="false">CONVERT(G1354,"m^2","ha")</f>
        <v>0.0969742</v>
      </c>
      <c r="K1354" s="0" t="b">
        <f aca="false">IF(J1354&gt;(I1354*2),((ROUNDDOWN(J1354/I1354,0))-1))</f>
        <v>0</v>
      </c>
    </row>
    <row r="1355" customFormat="false" ht="12.75" hidden="false" customHeight="false" outlineLevel="0" collapsed="false">
      <c r="A1355" s="5" t="n">
        <v>2743</v>
      </c>
      <c r="B1355" s="6" t="s">
        <v>3498</v>
      </c>
      <c r="C1355" s="6" t="s">
        <v>89</v>
      </c>
      <c r="D1355" s="6" t="s">
        <v>3499</v>
      </c>
      <c r="E1355" s="6" t="s">
        <v>14</v>
      </c>
      <c r="F1355" s="6" t="n">
        <v>9966.11610674</v>
      </c>
      <c r="G1355" s="6" t="n">
        <v>9966.389</v>
      </c>
      <c r="H1355" s="6" t="s">
        <v>792</v>
      </c>
      <c r="I1355" s="0" t="n">
        <v>0.4</v>
      </c>
      <c r="J1355" s="0" t="n">
        <f aca="false">CONVERT(G1355,"m^2","ha")</f>
        <v>0.9966389</v>
      </c>
      <c r="K1355" s="0" t="n">
        <f aca="false">IF(J1355&gt;(I1355*2),((ROUNDDOWN(J1355/I1355,0))-1))</f>
        <v>1</v>
      </c>
    </row>
    <row r="1356" customFormat="false" ht="12.75" hidden="false" customHeight="false" outlineLevel="0" collapsed="false">
      <c r="A1356" s="5" t="n">
        <v>2744</v>
      </c>
      <c r="B1356" s="6" t="s">
        <v>3500</v>
      </c>
      <c r="C1356" s="6" t="s">
        <v>12</v>
      </c>
      <c r="D1356" s="6" t="s">
        <v>3501</v>
      </c>
      <c r="E1356" s="6" t="s">
        <v>14</v>
      </c>
      <c r="F1356" s="6" t="n">
        <v>10049.29827458</v>
      </c>
      <c r="G1356" s="6" t="n">
        <v>10049.298</v>
      </c>
      <c r="H1356" s="6" t="s">
        <v>792</v>
      </c>
      <c r="I1356" s="0" t="n">
        <v>0.4</v>
      </c>
      <c r="J1356" s="0" t="n">
        <f aca="false">CONVERT(G1356,"m^2","ha")</f>
        <v>1.0049298</v>
      </c>
      <c r="K1356" s="0" t="n">
        <f aca="false">IF(J1356&gt;(I1356*2),((ROUNDDOWN(J1356/I1356,0))-1))</f>
        <v>1</v>
      </c>
    </row>
    <row r="1357" customFormat="false" ht="12.75" hidden="false" customHeight="false" outlineLevel="0" collapsed="false">
      <c r="A1357" s="5" t="n">
        <v>2745</v>
      </c>
      <c r="B1357" s="6" t="s">
        <v>3502</v>
      </c>
      <c r="C1357" s="6" t="s">
        <v>12</v>
      </c>
      <c r="D1357" s="6" t="s">
        <v>3503</v>
      </c>
      <c r="E1357" s="6" t="s">
        <v>14</v>
      </c>
      <c r="F1357" s="6" t="n">
        <v>1546.008751115</v>
      </c>
      <c r="G1357" s="6" t="n">
        <v>1546.009</v>
      </c>
      <c r="H1357" s="6" t="s">
        <v>792</v>
      </c>
      <c r="I1357" s="0" t="n">
        <v>0.4</v>
      </c>
      <c r="J1357" s="0" t="n">
        <f aca="false">CONVERT(G1357,"m^2","ha")</f>
        <v>0.1546009</v>
      </c>
      <c r="K1357" s="0" t="b">
        <f aca="false">IF(J1357&gt;(I1357*2),((ROUNDDOWN(J1357/I1357,0))-1))</f>
        <v>0</v>
      </c>
    </row>
    <row r="1358" customFormat="false" ht="12.75" hidden="false" customHeight="false" outlineLevel="0" collapsed="false">
      <c r="A1358" s="5" t="n">
        <v>2746</v>
      </c>
      <c r="B1358" s="6" t="s">
        <v>3504</v>
      </c>
      <c r="C1358" s="6" t="s">
        <v>89</v>
      </c>
      <c r="D1358" s="6" t="s">
        <v>3505</v>
      </c>
      <c r="E1358" s="6" t="s">
        <v>14</v>
      </c>
      <c r="F1358" s="6" t="n">
        <v>10031.906609955</v>
      </c>
      <c r="G1358" s="6" t="n">
        <v>10032.701</v>
      </c>
      <c r="H1358" s="6" t="s">
        <v>792</v>
      </c>
      <c r="I1358" s="0" t="n">
        <v>0.4</v>
      </c>
      <c r="J1358" s="0" t="n">
        <f aca="false">CONVERT(G1358,"m^2","ha")</f>
        <v>1.0032701</v>
      </c>
      <c r="K1358" s="0" t="n">
        <f aca="false">IF(J1358&gt;(I1358*2),((ROUNDDOWN(J1358/I1358,0))-1))</f>
        <v>1</v>
      </c>
    </row>
    <row r="1359" customFormat="false" ht="12.75" hidden="false" customHeight="false" outlineLevel="0" collapsed="false">
      <c r="A1359" s="5" t="n">
        <v>2747</v>
      </c>
      <c r="B1359" s="6" t="s">
        <v>3506</v>
      </c>
      <c r="C1359" s="6" t="s">
        <v>12</v>
      </c>
      <c r="D1359" s="6" t="s">
        <v>3507</v>
      </c>
      <c r="E1359" s="6" t="s">
        <v>14</v>
      </c>
      <c r="F1359" s="6" t="n">
        <v>7540.314945835</v>
      </c>
      <c r="G1359" s="6" t="n">
        <v>7540.315</v>
      </c>
      <c r="H1359" s="6" t="s">
        <v>792</v>
      </c>
      <c r="I1359" s="0" t="n">
        <v>0.4</v>
      </c>
      <c r="J1359" s="0" t="n">
        <f aca="false">CONVERT(G1359,"m^2","ha")</f>
        <v>0.7540315</v>
      </c>
      <c r="K1359" s="0" t="b">
        <f aca="false">IF(J1359&gt;(I1359*2),((ROUNDDOWN(J1359/I1359,0))-1))</f>
        <v>0</v>
      </c>
    </row>
    <row r="1360" customFormat="false" ht="12.75" hidden="false" customHeight="false" outlineLevel="0" collapsed="false">
      <c r="A1360" s="5" t="n">
        <v>2748</v>
      </c>
      <c r="B1360" s="6" t="s">
        <v>3508</v>
      </c>
      <c r="C1360" s="6" t="s">
        <v>12</v>
      </c>
      <c r="D1360" s="6" t="s">
        <v>3509</v>
      </c>
      <c r="E1360" s="6" t="s">
        <v>14</v>
      </c>
      <c r="F1360" s="6" t="n">
        <v>7900.80803974</v>
      </c>
      <c r="G1360" s="6" t="n">
        <v>7900.808</v>
      </c>
      <c r="H1360" s="6" t="s">
        <v>792</v>
      </c>
      <c r="I1360" s="0" t="n">
        <v>0.4</v>
      </c>
      <c r="J1360" s="0" t="n">
        <f aca="false">CONVERT(G1360,"m^2","ha")</f>
        <v>0.7900808</v>
      </c>
      <c r="K1360" s="0" t="b">
        <f aca="false">IF(J1360&gt;(I1360*2),((ROUNDDOWN(J1360/I1360,0))-1))</f>
        <v>0</v>
      </c>
    </row>
    <row r="1361" customFormat="false" ht="12.75" hidden="false" customHeight="false" outlineLevel="0" collapsed="false">
      <c r="A1361" s="5" t="n">
        <v>2749</v>
      </c>
      <c r="B1361" s="6" t="s">
        <v>3510</v>
      </c>
      <c r="C1361" s="6" t="s">
        <v>12</v>
      </c>
      <c r="D1361" s="6" t="s">
        <v>3511</v>
      </c>
      <c r="E1361" s="6" t="s">
        <v>14</v>
      </c>
      <c r="F1361" s="6" t="n">
        <v>324.76560028</v>
      </c>
      <c r="G1361" s="6" t="n">
        <v>324.766</v>
      </c>
      <c r="H1361" s="6" t="s">
        <v>792</v>
      </c>
      <c r="I1361" s="0" t="n">
        <v>0.4</v>
      </c>
      <c r="J1361" s="0" t="n">
        <f aca="false">CONVERT(G1361,"m^2","ha")</f>
        <v>0.0324766</v>
      </c>
      <c r="K1361" s="0" t="b">
        <f aca="false">IF(J1361&gt;(I1361*2),((ROUNDDOWN(J1361/I1361,0))-1))</f>
        <v>0</v>
      </c>
    </row>
    <row r="1362" customFormat="false" ht="12.75" hidden="false" customHeight="false" outlineLevel="0" collapsed="false">
      <c r="A1362" s="5" t="n">
        <v>2752</v>
      </c>
      <c r="B1362" s="6" t="s">
        <v>3512</v>
      </c>
      <c r="C1362" s="6" t="s">
        <v>12</v>
      </c>
      <c r="D1362" s="6" t="s">
        <v>3513</v>
      </c>
      <c r="E1362" s="6" t="s">
        <v>14</v>
      </c>
      <c r="F1362" s="6" t="n">
        <v>821.4165557</v>
      </c>
      <c r="G1362" s="6" t="n">
        <v>821.417</v>
      </c>
      <c r="H1362" s="6" t="s">
        <v>792</v>
      </c>
      <c r="I1362" s="0" t="n">
        <v>0.4</v>
      </c>
      <c r="J1362" s="0" t="n">
        <f aca="false">CONVERT(G1362,"m^2","ha")</f>
        <v>0.0821417</v>
      </c>
      <c r="K1362" s="0" t="b">
        <f aca="false">IF(J1362&gt;(I1362*2),((ROUNDDOWN(J1362/I1362,0))-1))</f>
        <v>0</v>
      </c>
    </row>
    <row r="1363" customFormat="false" ht="12.75" hidden="false" customHeight="false" outlineLevel="0" collapsed="false">
      <c r="A1363" s="5" t="n">
        <v>2761</v>
      </c>
      <c r="B1363" s="6" t="s">
        <v>3514</v>
      </c>
      <c r="C1363" s="6" t="s">
        <v>12</v>
      </c>
      <c r="D1363" s="6" t="s">
        <v>3515</v>
      </c>
      <c r="E1363" s="6" t="s">
        <v>14</v>
      </c>
      <c r="F1363" s="6" t="n">
        <v>1848.58257674</v>
      </c>
      <c r="G1363" s="6" t="n">
        <v>1848.583</v>
      </c>
      <c r="H1363" s="6" t="s">
        <v>792</v>
      </c>
      <c r="I1363" s="0" t="n">
        <v>0.4</v>
      </c>
      <c r="J1363" s="0" t="n">
        <f aca="false">CONVERT(G1363,"m^2","ha")</f>
        <v>0.1848583</v>
      </c>
      <c r="K1363" s="0" t="b">
        <f aca="false">IF(J1363&gt;(I1363*2),((ROUNDDOWN(J1363/I1363,0))-1))</f>
        <v>0</v>
      </c>
    </row>
    <row r="1364" customFormat="false" ht="12.75" hidden="false" customHeight="false" outlineLevel="0" collapsed="false">
      <c r="A1364" s="5" t="n">
        <v>2762</v>
      </c>
      <c r="B1364" s="6" t="s">
        <v>3516</v>
      </c>
      <c r="C1364" s="6" t="s">
        <v>12</v>
      </c>
      <c r="D1364" s="6" t="s">
        <v>3517</v>
      </c>
      <c r="E1364" s="6" t="s">
        <v>14</v>
      </c>
      <c r="F1364" s="6" t="n">
        <v>981.4379092</v>
      </c>
      <c r="G1364" s="6" t="n">
        <v>981.438</v>
      </c>
      <c r="H1364" s="6" t="s">
        <v>792</v>
      </c>
      <c r="I1364" s="0" t="n">
        <v>0.4</v>
      </c>
      <c r="J1364" s="0" t="n">
        <f aca="false">CONVERT(G1364,"m^2","ha")</f>
        <v>0.0981438</v>
      </c>
      <c r="K1364" s="0" t="b">
        <f aca="false">IF(J1364&gt;(I1364*2),((ROUNDDOWN(J1364/I1364,0))-1))</f>
        <v>0</v>
      </c>
    </row>
    <row r="1365" customFormat="false" ht="12.75" hidden="false" customHeight="false" outlineLevel="0" collapsed="false">
      <c r="A1365" s="5" t="n">
        <v>2763</v>
      </c>
      <c r="B1365" s="6" t="s">
        <v>3518</v>
      </c>
      <c r="C1365" s="6" t="s">
        <v>12</v>
      </c>
      <c r="D1365" s="6" t="s">
        <v>3519</v>
      </c>
      <c r="E1365" s="6" t="s">
        <v>3156</v>
      </c>
      <c r="F1365" s="6" t="n">
        <v>2021.838483755</v>
      </c>
      <c r="G1365" s="6" t="n">
        <v>2021.838</v>
      </c>
      <c r="H1365" s="6" t="s">
        <v>792</v>
      </c>
      <c r="I1365" s="0" t="n">
        <v>0.4</v>
      </c>
      <c r="J1365" s="0" t="n">
        <f aca="false">CONVERT(G1365,"m^2","ha")</f>
        <v>0.2021838</v>
      </c>
      <c r="K1365" s="0" t="b">
        <f aca="false">IF(J1365&gt;(I1365*2),((ROUNDDOWN(J1365/I1365,0))-1))</f>
        <v>0</v>
      </c>
    </row>
    <row r="1366" customFormat="false" ht="12.75" hidden="false" customHeight="false" outlineLevel="0" collapsed="false">
      <c r="A1366" s="5" t="n">
        <v>2764</v>
      </c>
      <c r="B1366" s="6" t="s">
        <v>3520</v>
      </c>
      <c r="C1366" s="6" t="s">
        <v>12</v>
      </c>
      <c r="D1366" s="6" t="s">
        <v>3521</v>
      </c>
      <c r="E1366" s="6" t="s">
        <v>14</v>
      </c>
      <c r="F1366" s="6" t="n">
        <v>3056.40867187</v>
      </c>
      <c r="G1366" s="6" t="n">
        <v>3056.409</v>
      </c>
      <c r="H1366" s="6" t="s">
        <v>792</v>
      </c>
      <c r="I1366" s="0" t="n">
        <v>0.4</v>
      </c>
      <c r="J1366" s="0" t="n">
        <f aca="false">CONVERT(G1366,"m^2","ha")</f>
        <v>0.3056409</v>
      </c>
      <c r="K1366" s="8" t="b">
        <f aca="false">IF(J1366&gt;(I1366*2),((ROUNDDOWN(J1366/I1366,0))-1))</f>
        <v>0</v>
      </c>
    </row>
    <row r="1367" customFormat="false" ht="12.75" hidden="false" customHeight="false" outlineLevel="0" collapsed="false">
      <c r="A1367" s="5" t="n">
        <v>2765</v>
      </c>
      <c r="B1367" s="6" t="s">
        <v>3522</v>
      </c>
      <c r="C1367" s="6" t="s">
        <v>12</v>
      </c>
      <c r="D1367" s="6" t="s">
        <v>3523</v>
      </c>
      <c r="E1367" s="6" t="s">
        <v>14</v>
      </c>
      <c r="F1367" s="6" t="n">
        <v>1016.34358282</v>
      </c>
      <c r="G1367" s="6" t="n">
        <v>1016.344</v>
      </c>
      <c r="H1367" s="6" t="s">
        <v>792</v>
      </c>
      <c r="I1367" s="0" t="n">
        <v>0.4</v>
      </c>
      <c r="J1367" s="0" t="n">
        <f aca="false">CONVERT(G1367,"m^2","ha")</f>
        <v>0.1016344</v>
      </c>
      <c r="K1367" s="8" t="b">
        <f aca="false">IF(J1367&gt;(I1367*2),((ROUNDDOWN(J1367/I1367,0))-1))</f>
        <v>0</v>
      </c>
    </row>
    <row r="1368" customFormat="false" ht="12.75" hidden="false" customHeight="false" outlineLevel="0" collapsed="false">
      <c r="A1368" s="5" t="n">
        <v>2766</v>
      </c>
      <c r="B1368" s="6" t="s">
        <v>3524</v>
      </c>
      <c r="C1368" s="6" t="s">
        <v>12</v>
      </c>
      <c r="D1368" s="6" t="s">
        <v>3525</v>
      </c>
      <c r="E1368" s="6" t="s">
        <v>14</v>
      </c>
      <c r="F1368" s="6" t="n">
        <v>2368.952185195</v>
      </c>
      <c r="G1368" s="6" t="n">
        <v>2369.054</v>
      </c>
      <c r="H1368" s="6" t="s">
        <v>792</v>
      </c>
      <c r="I1368" s="0" t="n">
        <v>0.4</v>
      </c>
      <c r="J1368" s="0" t="n">
        <f aca="false">CONVERT(G1368,"m^2","ha")</f>
        <v>0.2369054</v>
      </c>
      <c r="K1368" s="8" t="b">
        <f aca="false">IF(J1368&gt;(I1368*2),((ROUNDDOWN(J1368/I1368,0))-1))</f>
        <v>0</v>
      </c>
    </row>
    <row r="1369" customFormat="false" ht="12.75" hidden="false" customHeight="false" outlineLevel="0" collapsed="false">
      <c r="A1369" s="5" t="n">
        <v>2767</v>
      </c>
      <c r="B1369" s="6" t="s">
        <v>3526</v>
      </c>
      <c r="C1369" s="6" t="s">
        <v>12</v>
      </c>
      <c r="D1369" s="6" t="s">
        <v>3527</v>
      </c>
      <c r="E1369" s="6" t="s">
        <v>14</v>
      </c>
      <c r="F1369" s="6" t="n">
        <v>776.18179618</v>
      </c>
      <c r="G1369" s="6" t="n">
        <v>776.182</v>
      </c>
      <c r="H1369" s="6" t="s">
        <v>792</v>
      </c>
      <c r="I1369" s="0" t="n">
        <v>0.4</v>
      </c>
      <c r="J1369" s="0" t="n">
        <f aca="false">CONVERT(G1369,"m^2","ha")</f>
        <v>0.0776182</v>
      </c>
      <c r="K1369" s="0" t="b">
        <f aca="false">IF(J1369&gt;(I1369*2),((ROUNDDOWN(J1369/I1369,0))-1))</f>
        <v>0</v>
      </c>
    </row>
    <row r="1370" customFormat="false" ht="12.75" hidden="false" customHeight="false" outlineLevel="0" collapsed="false">
      <c r="A1370" s="5" t="n">
        <v>2768</v>
      </c>
      <c r="B1370" s="6" t="s">
        <v>3528</v>
      </c>
      <c r="C1370" s="6" t="s">
        <v>12</v>
      </c>
      <c r="D1370" s="6" t="s">
        <v>3529</v>
      </c>
      <c r="E1370" s="6" t="s">
        <v>14</v>
      </c>
      <c r="F1370" s="6" t="n">
        <v>693.319336055</v>
      </c>
      <c r="G1370" s="6" t="n">
        <v>693.319</v>
      </c>
      <c r="H1370" s="6" t="s">
        <v>792</v>
      </c>
      <c r="I1370" s="0" t="n">
        <v>0.4</v>
      </c>
      <c r="J1370" s="0" t="n">
        <f aca="false">CONVERT(G1370,"m^2","ha")</f>
        <v>0.0693319</v>
      </c>
      <c r="K1370" s="0" t="b">
        <f aca="false">IF(J1370&gt;(I1370*2),((ROUNDDOWN(J1370/I1370,0))-1))</f>
        <v>0</v>
      </c>
    </row>
    <row r="1371" customFormat="false" ht="12.75" hidden="false" customHeight="false" outlineLevel="0" collapsed="false">
      <c r="A1371" s="5" t="n">
        <v>2769</v>
      </c>
      <c r="B1371" s="6" t="s">
        <v>3530</v>
      </c>
      <c r="C1371" s="6" t="s">
        <v>89</v>
      </c>
      <c r="D1371" s="6" t="s">
        <v>3531</v>
      </c>
      <c r="E1371" s="6" t="s">
        <v>14</v>
      </c>
      <c r="F1371" s="6" t="n">
        <v>8979.72672318</v>
      </c>
      <c r="G1371" s="6" t="n">
        <v>8979.727</v>
      </c>
      <c r="H1371" s="6" t="s">
        <v>792</v>
      </c>
      <c r="I1371" s="0" t="n">
        <v>0.4</v>
      </c>
      <c r="J1371" s="0" t="n">
        <f aca="false">CONVERT(G1371,"m^2","ha")</f>
        <v>0.8979727</v>
      </c>
      <c r="K1371" s="0" t="n">
        <f aca="false">IF(J1371&gt;(I1371*2),((ROUNDDOWN(J1371/I1371,0))-1))</f>
        <v>1</v>
      </c>
    </row>
    <row r="1372" customFormat="false" ht="12.75" hidden="false" customHeight="false" outlineLevel="0" collapsed="false">
      <c r="A1372" s="5" t="n">
        <v>2770</v>
      </c>
      <c r="B1372" s="6" t="s">
        <v>3532</v>
      </c>
      <c r="C1372" s="6" t="s">
        <v>12</v>
      </c>
      <c r="D1372" s="6" t="s">
        <v>3533</v>
      </c>
      <c r="E1372" s="6" t="s">
        <v>2733</v>
      </c>
      <c r="F1372" s="6" t="n">
        <v>20.27767352</v>
      </c>
      <c r="G1372" s="6" t="n">
        <v>20.278</v>
      </c>
      <c r="H1372" s="6" t="s">
        <v>792</v>
      </c>
      <c r="I1372" s="0" t="n">
        <v>0.4</v>
      </c>
      <c r="J1372" s="0" t="n">
        <f aca="false">CONVERT(G1372,"m^2","ha")</f>
        <v>0.0020278</v>
      </c>
      <c r="K1372" s="8" t="b">
        <f aca="false">IF(J1372&gt;(I1372*2),((ROUNDDOWN(J1372/I1372,0))-1))</f>
        <v>0</v>
      </c>
    </row>
    <row r="1373" customFormat="false" ht="12.75" hidden="false" customHeight="false" outlineLevel="0" collapsed="false">
      <c r="A1373" s="5" t="n">
        <v>2772</v>
      </c>
      <c r="B1373" s="6" t="s">
        <v>3534</v>
      </c>
      <c r="C1373" s="6" t="s">
        <v>12</v>
      </c>
      <c r="D1373" s="6" t="s">
        <v>3535</v>
      </c>
      <c r="E1373" s="6" t="s">
        <v>14</v>
      </c>
      <c r="F1373" s="6" t="n">
        <v>922.716960785</v>
      </c>
      <c r="G1373" s="6" t="n">
        <v>922.717</v>
      </c>
      <c r="H1373" s="6" t="s">
        <v>792</v>
      </c>
      <c r="I1373" s="0" t="n">
        <v>0.4</v>
      </c>
      <c r="J1373" s="0" t="n">
        <f aca="false">CONVERT(G1373,"m^2","ha")</f>
        <v>0.0922717</v>
      </c>
      <c r="K1373" s="8" t="b">
        <f aca="false">IF(J1373&gt;(I1373*2),((ROUNDDOWN(J1373/I1373,0))-1))</f>
        <v>0</v>
      </c>
    </row>
    <row r="1374" customFormat="false" ht="12.75" hidden="false" customHeight="false" outlineLevel="0" collapsed="false">
      <c r="A1374" s="5" t="n">
        <v>2785</v>
      </c>
      <c r="B1374" s="6" t="s">
        <v>3536</v>
      </c>
      <c r="C1374" s="6" t="s">
        <v>89</v>
      </c>
      <c r="D1374" s="6" t="s">
        <v>3537</v>
      </c>
      <c r="E1374" s="6" t="s">
        <v>3538</v>
      </c>
      <c r="F1374" s="6" t="n">
        <v>1117.050993775</v>
      </c>
      <c r="G1374" s="6" t="n">
        <v>1117.051</v>
      </c>
      <c r="H1374" s="6" t="s">
        <v>792</v>
      </c>
      <c r="I1374" s="0" t="n">
        <v>0.4</v>
      </c>
      <c r="J1374" s="0" t="n">
        <f aca="false">CONVERT(G1374,"m^2","ha")</f>
        <v>0.1117051</v>
      </c>
      <c r="K1374" s="8" t="b">
        <f aca="false">IF(J1374&gt;(I1374*2),((ROUNDDOWN(J1374/I1374,0))-1))</f>
        <v>0</v>
      </c>
    </row>
    <row r="1375" customFormat="false" ht="12.75" hidden="false" customHeight="false" outlineLevel="0" collapsed="false">
      <c r="A1375" s="5" t="n">
        <v>2787</v>
      </c>
      <c r="B1375" s="6" t="s">
        <v>3539</v>
      </c>
      <c r="C1375" s="6" t="s">
        <v>89</v>
      </c>
      <c r="D1375" s="6" t="s">
        <v>3540</v>
      </c>
      <c r="E1375" s="6" t="s">
        <v>14</v>
      </c>
      <c r="F1375" s="6" t="n">
        <v>12200.0530011</v>
      </c>
      <c r="G1375" s="6" t="n">
        <v>12200.178</v>
      </c>
      <c r="H1375" s="6" t="s">
        <v>792</v>
      </c>
      <c r="I1375" s="0" t="n">
        <v>0.4</v>
      </c>
      <c r="J1375" s="0" t="n">
        <f aca="false">CONVERT(G1375,"m^2","ha")</f>
        <v>1.2200178</v>
      </c>
      <c r="K1375" s="0" t="n">
        <f aca="false">IF(J1375&gt;(I1375*2),((ROUNDDOWN(J1375/I1375,0))-1))</f>
        <v>2</v>
      </c>
    </row>
    <row r="1376" customFormat="false" ht="12.75" hidden="false" customHeight="false" outlineLevel="0" collapsed="false">
      <c r="A1376" s="5" t="n">
        <v>2788</v>
      </c>
      <c r="B1376" s="6" t="s">
        <v>3541</v>
      </c>
      <c r="C1376" s="6" t="s">
        <v>12</v>
      </c>
      <c r="D1376" s="6" t="s">
        <v>3542</v>
      </c>
      <c r="E1376" s="6" t="s">
        <v>14</v>
      </c>
      <c r="F1376" s="6" t="n">
        <v>1862.075848035</v>
      </c>
      <c r="G1376" s="6" t="n">
        <v>1862.076</v>
      </c>
      <c r="H1376" s="6" t="s">
        <v>792</v>
      </c>
      <c r="I1376" s="0" t="n">
        <v>0.4</v>
      </c>
      <c r="J1376" s="0" t="n">
        <f aca="false">CONVERT(G1376,"m^2","ha")</f>
        <v>0.1862076</v>
      </c>
      <c r="K1376" s="8" t="b">
        <f aca="false">IF(J1376&gt;(I1376*2),((ROUNDDOWN(J1376/I1376,0))-1))</f>
        <v>0</v>
      </c>
    </row>
    <row r="1377" customFormat="false" ht="12.75" hidden="false" customHeight="false" outlineLevel="0" collapsed="false">
      <c r="A1377" s="5" t="n">
        <v>2789</v>
      </c>
      <c r="B1377" s="6" t="s">
        <v>3543</v>
      </c>
      <c r="C1377" s="6" t="s">
        <v>12</v>
      </c>
      <c r="D1377" s="6" t="s">
        <v>3544</v>
      </c>
      <c r="E1377" s="6" t="s">
        <v>14</v>
      </c>
      <c r="F1377" s="6" t="n">
        <v>2361.99414595</v>
      </c>
      <c r="G1377" s="6" t="n">
        <v>2361.994</v>
      </c>
      <c r="H1377" s="6" t="s">
        <v>792</v>
      </c>
      <c r="I1377" s="0" t="n">
        <v>0.4</v>
      </c>
      <c r="J1377" s="0" t="n">
        <f aca="false">CONVERT(G1377,"m^2","ha")</f>
        <v>0.2361994</v>
      </c>
      <c r="K1377" s="8" t="b">
        <f aca="false">IF(J1377&gt;(I1377*2),((ROUNDDOWN(J1377/I1377,0))-1))</f>
        <v>0</v>
      </c>
    </row>
    <row r="1378" customFormat="false" ht="12.75" hidden="false" customHeight="false" outlineLevel="0" collapsed="false">
      <c r="A1378" s="5" t="n">
        <v>2790</v>
      </c>
      <c r="B1378" s="6" t="s">
        <v>3545</v>
      </c>
      <c r="C1378" s="6" t="s">
        <v>12</v>
      </c>
      <c r="D1378" s="6" t="s">
        <v>3546</v>
      </c>
      <c r="E1378" s="6" t="s">
        <v>14</v>
      </c>
      <c r="F1378" s="6" t="n">
        <v>1168.993732315</v>
      </c>
      <c r="G1378" s="6" t="n">
        <v>1168.994</v>
      </c>
      <c r="H1378" s="6" t="s">
        <v>792</v>
      </c>
      <c r="I1378" s="0" t="n">
        <v>0.4</v>
      </c>
      <c r="J1378" s="0" t="n">
        <f aca="false">CONVERT(G1378,"m^2","ha")</f>
        <v>0.1168994</v>
      </c>
      <c r="K1378" s="8" t="b">
        <f aca="false">IF(J1378&gt;(I1378*2),((ROUNDDOWN(J1378/I1378,0))-1))</f>
        <v>0</v>
      </c>
    </row>
    <row r="1379" customFormat="false" ht="12.75" hidden="false" customHeight="false" outlineLevel="0" collapsed="false">
      <c r="A1379" s="5" t="n">
        <v>2791</v>
      </c>
      <c r="B1379" s="6" t="s">
        <v>3547</v>
      </c>
      <c r="C1379" s="6" t="s">
        <v>89</v>
      </c>
      <c r="D1379" s="6" t="s">
        <v>3548</v>
      </c>
      <c r="E1379" s="6" t="s">
        <v>14</v>
      </c>
      <c r="F1379" s="6" t="n">
        <v>2374.54480037</v>
      </c>
      <c r="G1379" s="6" t="n">
        <v>2372.584</v>
      </c>
      <c r="H1379" s="6" t="s">
        <v>792</v>
      </c>
      <c r="I1379" s="0" t="n">
        <v>0.4</v>
      </c>
      <c r="J1379" s="0" t="n">
        <f aca="false">CONVERT(G1379,"m^2","ha")</f>
        <v>0.2372584</v>
      </c>
      <c r="K1379" s="0" t="b">
        <f aca="false">IF(J1379&gt;(I1379*2),((ROUNDDOWN(J1379/I1379,0))-1))</f>
        <v>0</v>
      </c>
    </row>
    <row r="1380" customFormat="false" ht="12.75" hidden="false" customHeight="false" outlineLevel="0" collapsed="false">
      <c r="A1380" s="5" t="n">
        <v>2792</v>
      </c>
      <c r="B1380" s="6" t="s">
        <v>3549</v>
      </c>
      <c r="C1380" s="6" t="s">
        <v>89</v>
      </c>
      <c r="D1380" s="6" t="s">
        <v>3550</v>
      </c>
      <c r="E1380" s="6" t="s">
        <v>14</v>
      </c>
      <c r="F1380" s="6" t="n">
        <v>1965.43608632</v>
      </c>
      <c r="G1380" s="6" t="n">
        <v>1963.735</v>
      </c>
      <c r="H1380" s="6" t="s">
        <v>792</v>
      </c>
      <c r="I1380" s="0" t="n">
        <v>0.4</v>
      </c>
      <c r="J1380" s="0" t="n">
        <f aca="false">CONVERT(G1380,"m^2","ha")</f>
        <v>0.1963735</v>
      </c>
      <c r="K1380" s="0" t="b">
        <f aca="false">IF(J1380&gt;(I1380*2),((ROUNDDOWN(J1380/I1380,0))-1))</f>
        <v>0</v>
      </c>
    </row>
    <row r="1381" customFormat="false" ht="12.75" hidden="false" customHeight="false" outlineLevel="0" collapsed="false">
      <c r="A1381" s="5" t="n">
        <v>2793</v>
      </c>
      <c r="B1381" s="6" t="s">
        <v>3551</v>
      </c>
      <c r="C1381" s="6" t="s">
        <v>89</v>
      </c>
      <c r="D1381" s="6" t="s">
        <v>3552</v>
      </c>
      <c r="E1381" s="6" t="s">
        <v>14</v>
      </c>
      <c r="F1381" s="6" t="n">
        <v>2501.498896625</v>
      </c>
      <c r="G1381" s="6" t="n">
        <v>2502.397</v>
      </c>
      <c r="H1381" s="6" t="s">
        <v>792</v>
      </c>
      <c r="I1381" s="0" t="n">
        <v>0.4</v>
      </c>
      <c r="J1381" s="0" t="n">
        <f aca="false">CONVERT(G1381,"m^2","ha")</f>
        <v>0.2502397</v>
      </c>
      <c r="K1381" s="0" t="b">
        <f aca="false">IF(J1381&gt;(I1381*2),((ROUNDDOWN(J1381/I1381,0))-1))</f>
        <v>0</v>
      </c>
    </row>
    <row r="1382" customFormat="false" ht="12.75" hidden="false" customHeight="false" outlineLevel="0" collapsed="false">
      <c r="A1382" s="5" t="n">
        <v>2794</v>
      </c>
      <c r="B1382" s="6" t="s">
        <v>3553</v>
      </c>
      <c r="C1382" s="6" t="s">
        <v>89</v>
      </c>
      <c r="D1382" s="6" t="s">
        <v>3554</v>
      </c>
      <c r="E1382" s="6" t="s">
        <v>14</v>
      </c>
      <c r="F1382" s="6" t="n">
        <v>1895.600874585</v>
      </c>
      <c r="G1382" s="6" t="n">
        <v>1895.835</v>
      </c>
      <c r="H1382" s="6" t="s">
        <v>792</v>
      </c>
      <c r="I1382" s="0" t="n">
        <v>0.4</v>
      </c>
      <c r="J1382" s="0" t="n">
        <f aca="false">CONVERT(G1382,"m^2","ha")</f>
        <v>0.1895835</v>
      </c>
      <c r="K1382" s="0" t="b">
        <f aca="false">IF(J1382&gt;(I1382*2),((ROUNDDOWN(J1382/I1382,0))-1))</f>
        <v>0</v>
      </c>
    </row>
    <row r="1383" customFormat="false" ht="12.75" hidden="false" customHeight="false" outlineLevel="0" collapsed="false">
      <c r="A1383" s="5" t="n">
        <v>2795</v>
      </c>
      <c r="B1383" s="6" t="s">
        <v>3555</v>
      </c>
      <c r="C1383" s="6" t="s">
        <v>12</v>
      </c>
      <c r="D1383" s="6" t="s">
        <v>3556</v>
      </c>
      <c r="E1383" s="6" t="s">
        <v>14</v>
      </c>
      <c r="F1383" s="6" t="n">
        <v>1267.358819515</v>
      </c>
      <c r="G1383" s="6" t="n">
        <v>1267.359</v>
      </c>
      <c r="H1383" s="6" t="s">
        <v>792</v>
      </c>
      <c r="I1383" s="0" t="n">
        <v>0.4</v>
      </c>
      <c r="J1383" s="0" t="n">
        <f aca="false">CONVERT(G1383,"m^2","ha")</f>
        <v>0.1267359</v>
      </c>
      <c r="K1383" s="0" t="b">
        <f aca="false">IF(J1383&gt;(I1383*2),((ROUNDDOWN(J1383/I1383,0))-1))</f>
        <v>0</v>
      </c>
    </row>
    <row r="1384" customFormat="false" ht="12.75" hidden="false" customHeight="false" outlineLevel="0" collapsed="false">
      <c r="A1384" s="5" t="n">
        <v>2796</v>
      </c>
      <c r="B1384" s="6" t="s">
        <v>3557</v>
      </c>
      <c r="C1384" s="6" t="s">
        <v>12</v>
      </c>
      <c r="D1384" s="6" t="s">
        <v>3558</v>
      </c>
      <c r="E1384" s="6" t="s">
        <v>14</v>
      </c>
      <c r="F1384" s="6" t="n">
        <v>6639.124312185</v>
      </c>
      <c r="G1384" s="6" t="n">
        <v>6639.124</v>
      </c>
      <c r="H1384" s="6" t="s">
        <v>792</v>
      </c>
      <c r="I1384" s="0" t="n">
        <v>0.4</v>
      </c>
      <c r="J1384" s="0" t="n">
        <f aca="false">CONVERT(G1384,"m^2","ha")</f>
        <v>0.6639124</v>
      </c>
      <c r="K1384" s="0" t="b">
        <f aca="false">IF(J1384&gt;(I1384*2),((ROUNDDOWN(J1384/I1384,0))-1))</f>
        <v>0</v>
      </c>
    </row>
    <row r="1385" customFormat="false" ht="12.75" hidden="false" customHeight="false" outlineLevel="0" collapsed="false">
      <c r="A1385" s="5" t="n">
        <v>2797</v>
      </c>
      <c r="B1385" s="6" t="s">
        <v>3559</v>
      </c>
      <c r="C1385" s="6" t="s">
        <v>12</v>
      </c>
      <c r="D1385" s="6" t="s">
        <v>3560</v>
      </c>
      <c r="E1385" s="6" t="s">
        <v>14</v>
      </c>
      <c r="F1385" s="6" t="n">
        <v>4183.496516105</v>
      </c>
      <c r="G1385" s="6" t="n">
        <v>4183.97</v>
      </c>
      <c r="H1385" s="6" t="s">
        <v>792</v>
      </c>
      <c r="I1385" s="0" t="n">
        <v>0.4</v>
      </c>
      <c r="J1385" s="0" t="n">
        <f aca="false">CONVERT(G1385,"m^2","ha")</f>
        <v>0.418397</v>
      </c>
      <c r="K1385" s="0" t="b">
        <f aca="false">IF(J1385&gt;(I1385*2),((ROUNDDOWN(J1385/I1385,0))-1))</f>
        <v>0</v>
      </c>
    </row>
    <row r="1386" customFormat="false" ht="12.75" hidden="false" customHeight="false" outlineLevel="0" collapsed="false">
      <c r="A1386" s="5" t="n">
        <v>2798</v>
      </c>
      <c r="B1386" s="6" t="s">
        <v>3561</v>
      </c>
      <c r="C1386" s="6" t="s">
        <v>89</v>
      </c>
      <c r="D1386" s="6" t="s">
        <v>3562</v>
      </c>
      <c r="E1386" s="6" t="s">
        <v>14</v>
      </c>
      <c r="F1386" s="6" t="n">
        <v>1949.023947875</v>
      </c>
      <c r="G1386" s="6" t="n">
        <v>1949.024</v>
      </c>
      <c r="H1386" s="6" t="s">
        <v>792</v>
      </c>
      <c r="I1386" s="0" t="n">
        <v>0.4</v>
      </c>
      <c r="J1386" s="0" t="n">
        <f aca="false">CONVERT(G1386,"m^2","ha")</f>
        <v>0.1949024</v>
      </c>
      <c r="K1386" s="0" t="b">
        <f aca="false">IF(J1386&gt;(I1386*2),((ROUNDDOWN(J1386/I1386,0))-1))</f>
        <v>0</v>
      </c>
    </row>
    <row r="1387" customFormat="false" ht="12.75" hidden="false" customHeight="false" outlineLevel="0" collapsed="false">
      <c r="A1387" s="5" t="n">
        <v>2799</v>
      </c>
      <c r="B1387" s="6" t="s">
        <v>3563</v>
      </c>
      <c r="C1387" s="6" t="s">
        <v>12</v>
      </c>
      <c r="D1387" s="6" t="s">
        <v>3564</v>
      </c>
      <c r="E1387" s="6" t="s">
        <v>14</v>
      </c>
      <c r="F1387" s="6" t="n">
        <v>11839.58487578</v>
      </c>
      <c r="G1387" s="6" t="n">
        <v>11839.368</v>
      </c>
      <c r="H1387" s="6" t="s">
        <v>792</v>
      </c>
      <c r="I1387" s="0" t="n">
        <v>0.4</v>
      </c>
      <c r="J1387" s="0" t="n">
        <f aca="false">CONVERT(G1387,"m^2","ha")</f>
        <v>1.1839368</v>
      </c>
      <c r="K1387" s="0" t="n">
        <f aca="false">IF(J1387&gt;(I1387*2),((ROUNDDOWN(J1387/I1387,0))-1))</f>
        <v>1</v>
      </c>
    </row>
    <row r="1388" customFormat="false" ht="12.75" hidden="false" customHeight="false" outlineLevel="0" collapsed="false">
      <c r="A1388" s="5" t="n">
        <v>2800</v>
      </c>
      <c r="B1388" s="6" t="s">
        <v>3565</v>
      </c>
      <c r="C1388" s="6" t="s">
        <v>12</v>
      </c>
      <c r="D1388" s="6" t="s">
        <v>3566</v>
      </c>
      <c r="E1388" s="6" t="s">
        <v>14</v>
      </c>
      <c r="F1388" s="6" t="n">
        <v>6346.86974336</v>
      </c>
      <c r="G1388" s="6" t="n">
        <v>6346.614</v>
      </c>
      <c r="H1388" s="6" t="s">
        <v>792</v>
      </c>
      <c r="I1388" s="0" t="n">
        <v>0.4</v>
      </c>
      <c r="J1388" s="0" t="n">
        <f aca="false">CONVERT(G1388,"m^2","ha")</f>
        <v>0.6346614</v>
      </c>
      <c r="K1388" s="8" t="b">
        <f aca="false">IF(J1388&gt;(I1388*2),((ROUNDDOWN(J1388/I1388,0))-1))</f>
        <v>0</v>
      </c>
    </row>
    <row r="1389" customFormat="false" ht="12.75" hidden="false" customHeight="false" outlineLevel="0" collapsed="false">
      <c r="A1389" s="5" t="n">
        <v>2801</v>
      </c>
      <c r="B1389" s="6" t="s">
        <v>3567</v>
      </c>
      <c r="C1389" s="6" t="s">
        <v>12</v>
      </c>
      <c r="D1389" s="6" t="s">
        <v>3568</v>
      </c>
      <c r="E1389" s="6" t="s">
        <v>14</v>
      </c>
      <c r="F1389" s="6" t="n">
        <v>25897.62073449</v>
      </c>
      <c r="G1389" s="6" t="n">
        <v>25897.621</v>
      </c>
      <c r="H1389" s="6" t="s">
        <v>792</v>
      </c>
      <c r="I1389" s="0" t="n">
        <v>0.4</v>
      </c>
      <c r="J1389" s="0" t="n">
        <f aca="false">CONVERT(G1389,"m^2","ha")</f>
        <v>2.5897621</v>
      </c>
      <c r="K1389" s="0" t="n">
        <f aca="false">IF(J1389&gt;(I1389*2),((ROUNDDOWN(J1389/I1389,0))-1))</f>
        <v>5</v>
      </c>
    </row>
    <row r="1390" customFormat="false" ht="12.75" hidden="false" customHeight="false" outlineLevel="0" collapsed="false">
      <c r="A1390" s="5" t="n">
        <v>2804</v>
      </c>
      <c r="B1390" s="6" t="s">
        <v>3569</v>
      </c>
      <c r="C1390" s="6" t="s">
        <v>89</v>
      </c>
      <c r="D1390" s="6" t="s">
        <v>3570</v>
      </c>
      <c r="E1390" s="6" t="s">
        <v>14</v>
      </c>
      <c r="F1390" s="6" t="n">
        <v>2110.737785635</v>
      </c>
      <c r="G1390" s="6" t="n">
        <v>2109.842</v>
      </c>
      <c r="H1390" s="6" t="s">
        <v>792</v>
      </c>
      <c r="I1390" s="0" t="n">
        <v>0.4</v>
      </c>
      <c r="J1390" s="0" t="n">
        <f aca="false">CONVERT(G1390,"m^2","ha")</f>
        <v>0.2109842</v>
      </c>
      <c r="K1390" s="8" t="b">
        <f aca="false">IF(J1390&gt;(I1390*2),((ROUNDDOWN(J1390/I1390,0))-1))</f>
        <v>0</v>
      </c>
    </row>
    <row r="1391" customFormat="false" ht="12.75" hidden="false" customHeight="false" outlineLevel="0" collapsed="false">
      <c r="A1391" s="5" t="n">
        <v>2805</v>
      </c>
      <c r="B1391" s="6" t="s">
        <v>3571</v>
      </c>
      <c r="C1391" s="6" t="s">
        <v>89</v>
      </c>
      <c r="D1391" s="6" t="s">
        <v>3572</v>
      </c>
      <c r="E1391" s="6" t="s">
        <v>14</v>
      </c>
      <c r="F1391" s="6" t="n">
        <v>3414.77424743</v>
      </c>
      <c r="G1391" s="6" t="n">
        <v>3414.287</v>
      </c>
      <c r="H1391" s="6" t="s">
        <v>792</v>
      </c>
      <c r="I1391" s="0" t="n">
        <v>0.4</v>
      </c>
      <c r="J1391" s="0" t="n">
        <f aca="false">CONVERT(G1391,"m^2","ha")</f>
        <v>0.3414287</v>
      </c>
      <c r="K1391" s="8" t="b">
        <f aca="false">IF(J1391&gt;(I1391*2),((ROUNDDOWN(J1391/I1391,0))-1))</f>
        <v>0</v>
      </c>
    </row>
    <row r="1392" customFormat="false" ht="12.75" hidden="false" customHeight="false" outlineLevel="0" collapsed="false">
      <c r="A1392" s="5" t="n">
        <v>2806</v>
      </c>
      <c r="B1392" s="6" t="s">
        <v>3573</v>
      </c>
      <c r="C1392" s="6" t="s">
        <v>89</v>
      </c>
      <c r="D1392" s="6" t="s">
        <v>3574</v>
      </c>
      <c r="E1392" s="6" t="s">
        <v>14</v>
      </c>
      <c r="F1392" s="6" t="n">
        <v>3590.83063538</v>
      </c>
      <c r="G1392" s="6" t="n">
        <v>3590.198</v>
      </c>
      <c r="H1392" s="6" t="s">
        <v>792</v>
      </c>
      <c r="I1392" s="0" t="n">
        <v>0.4</v>
      </c>
      <c r="J1392" s="0" t="n">
        <f aca="false">CONVERT(G1392,"m^2","ha")</f>
        <v>0.3590198</v>
      </c>
      <c r="K1392" s="8" t="b">
        <f aca="false">IF(J1392&gt;(I1392*2),((ROUNDDOWN(J1392/I1392,0))-1))</f>
        <v>0</v>
      </c>
    </row>
    <row r="1393" customFormat="false" ht="12.75" hidden="false" customHeight="false" outlineLevel="0" collapsed="false">
      <c r="A1393" s="5" t="n">
        <v>2808</v>
      </c>
      <c r="B1393" s="6" t="s">
        <v>3575</v>
      </c>
      <c r="C1393" s="6" t="s">
        <v>89</v>
      </c>
      <c r="D1393" s="6" t="s">
        <v>3576</v>
      </c>
      <c r="E1393" s="6" t="s">
        <v>14</v>
      </c>
      <c r="F1393" s="6" t="n">
        <v>2045.586642525</v>
      </c>
      <c r="G1393" s="6" t="n">
        <v>2045.559</v>
      </c>
      <c r="H1393" s="6" t="s">
        <v>792</v>
      </c>
      <c r="I1393" s="0" t="n">
        <v>0.4</v>
      </c>
      <c r="J1393" s="0" t="n">
        <f aca="false">CONVERT(G1393,"m^2","ha")</f>
        <v>0.2045559</v>
      </c>
      <c r="K1393" s="0" t="b">
        <f aca="false">IF(J1393&gt;(I1393*2),((ROUNDDOWN(J1393/I1393,0))-1))</f>
        <v>0</v>
      </c>
    </row>
    <row r="1394" customFormat="false" ht="12.75" hidden="false" customHeight="false" outlineLevel="0" collapsed="false">
      <c r="A1394" s="5" t="n">
        <v>2809</v>
      </c>
      <c r="B1394" s="6" t="s">
        <v>3577</v>
      </c>
      <c r="C1394" s="6" t="s">
        <v>89</v>
      </c>
      <c r="D1394" s="6" t="s">
        <v>3578</v>
      </c>
      <c r="E1394" s="6" t="s">
        <v>14</v>
      </c>
      <c r="F1394" s="6" t="n">
        <v>3912.70155377</v>
      </c>
      <c r="G1394" s="6" t="n">
        <v>3911.418</v>
      </c>
      <c r="H1394" s="6" t="s">
        <v>792</v>
      </c>
      <c r="I1394" s="0" t="n">
        <v>0.4</v>
      </c>
      <c r="J1394" s="0" t="n">
        <f aca="false">CONVERT(G1394,"m^2","ha")</f>
        <v>0.3911418</v>
      </c>
      <c r="K1394" s="0" t="b">
        <f aca="false">IF(J1394&gt;(I1394*2),((ROUNDDOWN(J1394/I1394,0))-1))</f>
        <v>0</v>
      </c>
    </row>
    <row r="1395" customFormat="false" ht="12.75" hidden="false" customHeight="false" outlineLevel="0" collapsed="false">
      <c r="A1395" s="5" t="n">
        <v>2812</v>
      </c>
      <c r="B1395" s="6" t="s">
        <v>3579</v>
      </c>
      <c r="C1395" s="6" t="s">
        <v>89</v>
      </c>
      <c r="D1395" s="6" t="s">
        <v>3580</v>
      </c>
      <c r="E1395" s="6" t="s">
        <v>14</v>
      </c>
      <c r="F1395" s="6" t="n">
        <v>9366.649860975</v>
      </c>
      <c r="G1395" s="6" t="n">
        <v>9366.65</v>
      </c>
      <c r="H1395" s="6" t="s">
        <v>792</v>
      </c>
      <c r="I1395" s="0" t="n">
        <v>0.4</v>
      </c>
      <c r="J1395" s="0" t="n">
        <f aca="false">CONVERT(G1395,"m^2","ha")</f>
        <v>0.936665</v>
      </c>
      <c r="K1395" s="0" t="n">
        <f aca="false">IF(J1395&gt;(I1395*2),((ROUNDDOWN(J1395/I1395,0))-1))</f>
        <v>1</v>
      </c>
    </row>
    <row r="1397" customFormat="false" ht="12.75" hidden="false" customHeight="false" outlineLevel="0" collapsed="false">
      <c r="K1397" s="0" t="n">
        <f aca="false">SUM(K2:K1395)</f>
        <v>265</v>
      </c>
    </row>
  </sheetData>
  <printOptions headings="false" gridLines="false" gridLinesSet="true" horizontalCentered="true" verticalCentered="false"/>
  <pageMargins left="0.3" right="0.3" top="0.609722222222222" bottom="0.370138888888889" header="0.1" footer="0.1"/>
  <pageSetup paperSize="9" scale="100" fitToWidth="1" fitToHeight="1" pageOrder="overThenDown" orientation="portrait" blackAndWhite="false" draft="false" cellComments="none" firstPageNumber="1" useFirstPageNumber="true" horizontalDpi="300" verticalDpi="300" copies="1"/>
  <headerFooter differentFirst="false" differentOddEven="false">
    <oddHeader>&amp;C&amp;P</oddHeader>
    <oddFooter>&amp;C&amp;F</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6" activeCellId="0" sqref="H6"/>
    </sheetView>
  </sheetViews>
  <sheetFormatPr defaultColWidth="8.6875" defaultRowHeight="12.75" zeroHeight="false" outlineLevelRow="0" outlineLevelCol="0"/>
  <cols>
    <col collapsed="false" customWidth="true" hidden="false" outlineLevel="0" max="1" min="1" style="0" width="26.95"/>
    <col collapsed="false" customWidth="true" hidden="false" outlineLevel="0" max="2" min="2" style="0" width="19"/>
    <col collapsed="false" customWidth="true" hidden="false" outlineLevel="0" max="3" min="3" style="0" width="18.66"/>
    <col collapsed="false" customWidth="true" hidden="false" outlineLevel="0" max="4" min="4" style="0" width="16.56"/>
    <col collapsed="false" customWidth="true" hidden="false" outlineLevel="0" max="8" min="8" style="0" width="31.78"/>
    <col collapsed="false" customWidth="true" hidden="false" outlineLevel="0" max="9" min="9" style="0" width="15.11"/>
    <col collapsed="false" customWidth="true" hidden="false" outlineLevel="0" max="10" min="10" style="0" width="8.11"/>
  </cols>
  <sheetData>
    <row r="1" customFormat="false" ht="15" hidden="false" customHeight="false" outlineLevel="0" collapsed="false">
      <c r="A1" s="9"/>
      <c r="B1" s="9"/>
      <c r="C1" s="9"/>
      <c r="D1" s="9"/>
      <c r="E1" s="9"/>
      <c r="F1" s="9"/>
      <c r="G1" s="9"/>
      <c r="H1" s="10" t="s">
        <v>3581</v>
      </c>
      <c r="I1" s="10"/>
      <c r="J1" s="10"/>
      <c r="K1" s="10"/>
      <c r="L1" s="10"/>
      <c r="M1" s="10"/>
    </row>
    <row r="2" customFormat="false" ht="15" hidden="false" customHeight="false" outlineLevel="0" collapsed="false">
      <c r="A2" s="9"/>
      <c r="B2" s="11" t="s">
        <v>3582</v>
      </c>
      <c r="C2" s="12" t="s">
        <v>3583</v>
      </c>
      <c r="D2" s="12" t="s">
        <v>3584</v>
      </c>
      <c r="E2" s="12"/>
      <c r="F2" s="9"/>
      <c r="G2" s="9"/>
      <c r="H2" s="13" t="s">
        <v>7</v>
      </c>
      <c r="I2" s="13" t="s">
        <v>3582</v>
      </c>
      <c r="J2" s="13" t="s">
        <v>3585</v>
      </c>
      <c r="K2" s="13" t="s">
        <v>3586</v>
      </c>
      <c r="L2" s="13" t="s">
        <v>3584</v>
      </c>
      <c r="M2" s="13" t="s">
        <v>3587</v>
      </c>
    </row>
    <row r="3" customFormat="false" ht="15" hidden="false" customHeight="false" outlineLevel="0" collapsed="false">
      <c r="A3" s="12" t="s">
        <v>3588</v>
      </c>
      <c r="B3" s="11" t="n">
        <v>38</v>
      </c>
      <c r="C3" s="11" t="n">
        <v>24</v>
      </c>
      <c r="D3" s="11" t="n">
        <f aca="false">B3-C3</f>
        <v>14</v>
      </c>
      <c r="E3" s="11"/>
      <c r="F3" s="9"/>
      <c r="G3" s="9"/>
      <c r="H3" s="14" t="s">
        <v>3589</v>
      </c>
      <c r="I3" s="11" t="s">
        <v>3590</v>
      </c>
      <c r="J3" s="11"/>
      <c r="K3" s="11"/>
      <c r="L3" s="11"/>
      <c r="M3" s="11"/>
    </row>
    <row r="4" customFormat="false" ht="15" hidden="false" customHeight="false" outlineLevel="0" collapsed="false">
      <c r="A4" s="12" t="s">
        <v>3591</v>
      </c>
      <c r="B4" s="11" t="n">
        <v>52</v>
      </c>
      <c r="C4" s="11" t="n">
        <v>24</v>
      </c>
      <c r="D4" s="11" t="n">
        <f aca="false">B4-C4</f>
        <v>28</v>
      </c>
      <c r="E4" s="11"/>
      <c r="F4" s="9"/>
      <c r="G4" s="9"/>
      <c r="H4" s="15" t="s">
        <v>3592</v>
      </c>
      <c r="I4" s="16" t="n">
        <v>12</v>
      </c>
      <c r="J4" s="16"/>
      <c r="K4" s="16"/>
      <c r="L4" s="16"/>
      <c r="M4" s="16" t="s">
        <v>3593</v>
      </c>
    </row>
    <row r="5" customFormat="false" ht="15" hidden="false" customHeight="false" outlineLevel="0" collapsed="false">
      <c r="A5" s="12" t="s">
        <v>3594</v>
      </c>
      <c r="B5" s="11" t="n">
        <v>185</v>
      </c>
      <c r="C5" s="11" t="n">
        <v>13</v>
      </c>
      <c r="D5" s="11" t="n">
        <f aca="false">B5-C5</f>
        <v>172</v>
      </c>
      <c r="E5" s="11"/>
      <c r="F5" s="9"/>
      <c r="G5" s="9"/>
      <c r="H5" s="14" t="s">
        <v>3595</v>
      </c>
      <c r="I5" s="11" t="s">
        <v>3590</v>
      </c>
      <c r="J5" s="11"/>
      <c r="K5" s="11"/>
      <c r="L5" s="11"/>
      <c r="M5" s="11"/>
    </row>
    <row r="6" customFormat="false" ht="15" hidden="false" customHeight="false" outlineLevel="0" collapsed="false">
      <c r="A6" s="12" t="s">
        <v>3596</v>
      </c>
      <c r="B6" s="11" t="n">
        <v>162</v>
      </c>
      <c r="C6" s="11" t="n">
        <v>95</v>
      </c>
      <c r="D6" s="11" t="n">
        <f aca="false">B6-C6</f>
        <v>67</v>
      </c>
      <c r="E6" s="11"/>
      <c r="F6" s="9"/>
      <c r="G6" s="9"/>
      <c r="H6" s="14" t="s">
        <v>3597</v>
      </c>
      <c r="I6" s="11" t="s">
        <v>3590</v>
      </c>
      <c r="J6" s="11"/>
      <c r="K6" s="11"/>
      <c r="L6" s="11"/>
      <c r="M6" s="11"/>
    </row>
    <row r="7" customFormat="false" ht="15" hidden="false" customHeight="false" outlineLevel="0" collapsed="false">
      <c r="A7" s="12" t="s">
        <v>3598</v>
      </c>
      <c r="B7" s="11" t="n">
        <v>20</v>
      </c>
      <c r="C7" s="11" t="n">
        <v>0</v>
      </c>
      <c r="D7" s="11" t="n">
        <v>20</v>
      </c>
      <c r="E7" s="11"/>
      <c r="F7" s="9"/>
      <c r="G7" s="9"/>
      <c r="H7" s="17" t="s">
        <v>3599</v>
      </c>
      <c r="I7" s="16" t="n">
        <v>162</v>
      </c>
      <c r="J7" s="16" t="n">
        <f aca="false">C26</f>
        <v>95</v>
      </c>
      <c r="K7" s="16"/>
      <c r="L7" s="16" t="n">
        <f aca="false">D26</f>
        <v>67</v>
      </c>
      <c r="M7" s="16" t="s">
        <v>3593</v>
      </c>
    </row>
    <row r="8" customFormat="false" ht="15" hidden="false" customHeight="false" outlineLevel="0" collapsed="false">
      <c r="A8" s="12" t="s">
        <v>3600</v>
      </c>
      <c r="B8" s="11" t="s">
        <v>3601</v>
      </c>
      <c r="C8" s="11" t="n">
        <v>27</v>
      </c>
      <c r="D8" s="11" t="n">
        <v>30</v>
      </c>
      <c r="E8" s="11"/>
      <c r="F8" s="9"/>
      <c r="G8" s="9"/>
      <c r="H8" s="14" t="s">
        <v>3602</v>
      </c>
      <c r="I8" s="11" t="s">
        <v>3590</v>
      </c>
      <c r="J8" s="11"/>
      <c r="K8" s="11"/>
      <c r="L8" s="11"/>
      <c r="M8" s="11"/>
    </row>
    <row r="9" customFormat="false" ht="15" hidden="false" customHeight="false" outlineLevel="0" collapsed="false">
      <c r="A9" s="12" t="s">
        <v>3603</v>
      </c>
      <c r="B9" s="11" t="n">
        <v>12</v>
      </c>
      <c r="C9" s="11" t="n">
        <v>4</v>
      </c>
      <c r="D9" s="11" t="n">
        <f aca="false">B9-C9</f>
        <v>8</v>
      </c>
      <c r="E9" s="11"/>
      <c r="F9" s="9"/>
      <c r="G9" s="9" t="s">
        <v>3604</v>
      </c>
      <c r="H9" s="15" t="s">
        <v>3605</v>
      </c>
      <c r="I9" s="15"/>
      <c r="J9" s="15"/>
      <c r="K9" s="15"/>
      <c r="L9" s="15"/>
      <c r="M9" s="15"/>
    </row>
    <row r="10" customFormat="false" ht="15" hidden="false" customHeight="false" outlineLevel="0" collapsed="false">
      <c r="A10" s="12" t="s">
        <v>3606</v>
      </c>
      <c r="B10" s="11" t="n">
        <v>24</v>
      </c>
      <c r="C10" s="11" t="n">
        <v>12</v>
      </c>
      <c r="D10" s="11" t="n">
        <f aca="false">B10-C10</f>
        <v>12</v>
      </c>
      <c r="E10" s="11"/>
      <c r="F10" s="9"/>
      <c r="G10" s="9"/>
      <c r="H10" s="14" t="s">
        <v>3607</v>
      </c>
      <c r="I10" s="11" t="s">
        <v>3590</v>
      </c>
      <c r="J10" s="11"/>
      <c r="K10" s="11"/>
      <c r="L10" s="11"/>
      <c r="M10" s="11"/>
    </row>
    <row r="11" customFormat="false" ht="15" hidden="false" customHeight="false" outlineLevel="0" collapsed="false">
      <c r="A11" s="9"/>
      <c r="B11" s="9"/>
      <c r="C11" s="9"/>
      <c r="D11" s="9"/>
      <c r="E11" s="9"/>
      <c r="F11" s="9"/>
      <c r="G11" s="9"/>
      <c r="H11" s="14" t="s">
        <v>3608</v>
      </c>
      <c r="I11" s="11" t="s">
        <v>3590</v>
      </c>
      <c r="J11" s="11"/>
      <c r="K11" s="11"/>
      <c r="L11" s="11"/>
      <c r="M11" s="11"/>
    </row>
    <row r="12" customFormat="false" ht="15" hidden="false" customHeight="false" outlineLevel="0" collapsed="false">
      <c r="A12" s="9"/>
      <c r="B12" s="9"/>
      <c r="C12" s="9"/>
      <c r="D12" s="11" t="n">
        <f aca="false">SUM(D3:D10)</f>
        <v>351</v>
      </c>
      <c r="E12" s="11" t="s">
        <v>3609</v>
      </c>
      <c r="F12" s="9"/>
      <c r="G12" s="9" t="s">
        <v>3604</v>
      </c>
      <c r="H12" s="15" t="s">
        <v>3610</v>
      </c>
      <c r="I12" s="16" t="n">
        <v>22</v>
      </c>
      <c r="J12" s="16"/>
      <c r="K12" s="16"/>
      <c r="L12" s="16"/>
      <c r="M12" s="16" t="s">
        <v>3593</v>
      </c>
    </row>
    <row r="13" customFormat="false" ht="15" hidden="false" customHeight="false" outlineLevel="0" collapsed="false">
      <c r="A13" s="9"/>
      <c r="B13" s="9"/>
      <c r="C13" s="9"/>
      <c r="D13" s="9"/>
      <c r="E13" s="9"/>
      <c r="F13" s="9"/>
      <c r="G13" s="9"/>
      <c r="H13" s="14" t="s">
        <v>3611</v>
      </c>
      <c r="I13" s="11" t="s">
        <v>3590</v>
      </c>
      <c r="J13" s="11"/>
      <c r="K13" s="11"/>
      <c r="L13" s="11"/>
      <c r="M13" s="11"/>
    </row>
    <row r="14" customFormat="false" ht="15" hidden="false" customHeight="false" outlineLevel="0" collapsed="false">
      <c r="A14" s="9"/>
      <c r="B14" s="9"/>
      <c r="C14" s="9"/>
      <c r="D14" s="9"/>
      <c r="E14" s="9"/>
      <c r="F14" s="9"/>
      <c r="G14" s="9"/>
      <c r="H14" s="14" t="s">
        <v>3612</v>
      </c>
      <c r="I14" s="11" t="s">
        <v>3590</v>
      </c>
      <c r="J14" s="11"/>
      <c r="K14" s="11"/>
      <c r="L14" s="11"/>
      <c r="M14" s="11"/>
    </row>
    <row r="15" customFormat="false" ht="15" hidden="false" customHeight="false" outlineLevel="0" collapsed="false">
      <c r="A15" s="12" t="s">
        <v>3613</v>
      </c>
      <c r="B15" s="9"/>
      <c r="C15" s="9"/>
      <c r="D15" s="9"/>
      <c r="E15" s="9"/>
      <c r="F15" s="9"/>
      <c r="G15" s="9"/>
      <c r="H15" s="14" t="s">
        <v>3614</v>
      </c>
      <c r="I15" s="11" t="s">
        <v>3590</v>
      </c>
      <c r="J15" s="11"/>
      <c r="K15" s="11"/>
      <c r="L15" s="11"/>
      <c r="M15" s="11"/>
    </row>
    <row r="16" customFormat="false" ht="15" hidden="false" customHeight="false" outlineLevel="0" collapsed="false">
      <c r="A16" s="11" t="s">
        <v>3615</v>
      </c>
      <c r="B16" s="11" t="s">
        <v>3582</v>
      </c>
      <c r="C16" s="11" t="s">
        <v>3616</v>
      </c>
      <c r="D16" s="11" t="s">
        <v>3584</v>
      </c>
      <c r="E16" s="11" t="s">
        <v>3617</v>
      </c>
      <c r="F16" s="9"/>
      <c r="G16" s="9"/>
      <c r="H16" s="15" t="s">
        <v>3618</v>
      </c>
      <c r="I16" s="16" t="n">
        <v>52</v>
      </c>
      <c r="J16" s="16" t="n">
        <v>2</v>
      </c>
      <c r="K16" s="16" t="n">
        <v>9</v>
      </c>
      <c r="L16" s="16" t="n">
        <v>41</v>
      </c>
      <c r="M16" s="16" t="s">
        <v>3593</v>
      </c>
    </row>
    <row r="17" customFormat="false" ht="15" hidden="false" customHeight="false" outlineLevel="0" collapsed="false">
      <c r="A17" s="11" t="n">
        <v>1</v>
      </c>
      <c r="B17" s="11" t="n">
        <v>57</v>
      </c>
      <c r="C17" s="11" t="n">
        <v>16</v>
      </c>
      <c r="D17" s="11" t="n">
        <f aca="false">B17-C17</f>
        <v>41</v>
      </c>
      <c r="E17" s="11" t="n">
        <v>0</v>
      </c>
      <c r="F17" s="9"/>
      <c r="G17" s="9"/>
      <c r="H17" s="15" t="s">
        <v>3619</v>
      </c>
      <c r="I17" s="16"/>
      <c r="J17" s="16" t="n">
        <v>27</v>
      </c>
      <c r="K17" s="16" t="n">
        <v>30</v>
      </c>
      <c r="L17" s="16" t="n">
        <v>0</v>
      </c>
      <c r="M17" s="16" t="s">
        <v>3593</v>
      </c>
    </row>
    <row r="18" customFormat="false" ht="15" hidden="false" customHeight="false" outlineLevel="0" collapsed="false">
      <c r="A18" s="13" t="n">
        <v>2</v>
      </c>
      <c r="B18" s="13" t="n">
        <v>23</v>
      </c>
      <c r="C18" s="13" t="n">
        <v>19</v>
      </c>
      <c r="D18" s="13" t="n">
        <f aca="false">B18-C18</f>
        <v>4</v>
      </c>
      <c r="E18" s="13" t="n">
        <v>4</v>
      </c>
      <c r="F18" s="9"/>
      <c r="G18" s="9"/>
      <c r="H18" s="14" t="s">
        <v>3620</v>
      </c>
      <c r="I18" s="11" t="s">
        <v>3590</v>
      </c>
      <c r="J18" s="11"/>
      <c r="K18" s="11"/>
      <c r="L18" s="11"/>
      <c r="M18" s="11"/>
    </row>
    <row r="19" customFormat="false" ht="15" hidden="false" customHeight="false" outlineLevel="0" collapsed="false">
      <c r="A19" s="13" t="n">
        <v>3</v>
      </c>
      <c r="B19" s="13" t="n">
        <v>6</v>
      </c>
      <c r="C19" s="13" t="n">
        <v>3</v>
      </c>
      <c r="D19" s="13" t="n">
        <f aca="false">B19-C19</f>
        <v>3</v>
      </c>
      <c r="E19" s="11"/>
      <c r="F19" s="9"/>
      <c r="G19" s="9"/>
      <c r="H19" s="15" t="s">
        <v>3621</v>
      </c>
      <c r="I19" s="16" t="n">
        <v>185</v>
      </c>
      <c r="J19" s="16" t="n">
        <v>13</v>
      </c>
      <c r="K19" s="16"/>
      <c r="L19" s="16"/>
      <c r="M19" s="16" t="s">
        <v>3593</v>
      </c>
    </row>
    <row r="20" customFormat="false" ht="15" hidden="false" customHeight="false" outlineLevel="0" collapsed="false">
      <c r="A20" s="13" t="n">
        <v>4</v>
      </c>
      <c r="B20" s="13" t="n">
        <v>2</v>
      </c>
      <c r="C20" s="13" t="n">
        <v>2</v>
      </c>
      <c r="D20" s="13" t="n">
        <f aca="false">B20-C20</f>
        <v>0</v>
      </c>
      <c r="E20" s="13"/>
      <c r="F20" s="9"/>
      <c r="G20" s="9"/>
      <c r="H20" s="17" t="s">
        <v>3622</v>
      </c>
      <c r="I20" s="16" t="n">
        <v>20</v>
      </c>
      <c r="J20" s="16" t="n">
        <v>0</v>
      </c>
      <c r="K20" s="16" t="n">
        <v>0</v>
      </c>
      <c r="L20" s="16" t="n">
        <v>20</v>
      </c>
      <c r="M20" s="16" t="s">
        <v>3593</v>
      </c>
    </row>
    <row r="21" customFormat="false" ht="15" hidden="false" customHeight="false" outlineLevel="0" collapsed="false">
      <c r="A21" s="13" t="n">
        <v>5</v>
      </c>
      <c r="B21" s="13" t="n">
        <v>9</v>
      </c>
      <c r="C21" s="13" t="n">
        <v>9</v>
      </c>
      <c r="D21" s="13" t="n">
        <f aca="false">B21-C21</f>
        <v>0</v>
      </c>
      <c r="E21" s="13"/>
      <c r="F21" s="9"/>
      <c r="G21" s="9"/>
      <c r="H21" s="9"/>
      <c r="I21" s="18"/>
      <c r="J21" s="18"/>
      <c r="K21" s="18"/>
      <c r="L21" s="18"/>
      <c r="M21" s="18"/>
    </row>
    <row r="22" customFormat="false" ht="15" hidden="false" customHeight="false" outlineLevel="0" collapsed="false">
      <c r="A22" s="13" t="n">
        <v>6</v>
      </c>
      <c r="B22" s="13" t="n">
        <v>1</v>
      </c>
      <c r="C22" s="13" t="n">
        <v>0</v>
      </c>
      <c r="D22" s="13" t="n">
        <f aca="false">B22-C22</f>
        <v>1</v>
      </c>
      <c r="E22" s="11"/>
      <c r="F22" s="9"/>
      <c r="G22" s="9"/>
      <c r="H22" s="19" t="s">
        <v>3623</v>
      </c>
      <c r="I22" s="11" t="n">
        <f aca="false">SUM(I3:I20)</f>
        <v>453</v>
      </c>
      <c r="J22" s="11" t="n">
        <f aca="false">SUM(J3:J20)</f>
        <v>137</v>
      </c>
      <c r="K22" s="11" t="n">
        <f aca="false">SUM(K3:K20)</f>
        <v>39</v>
      </c>
      <c r="L22" s="11" t="n">
        <f aca="false">SUM(L3:L20)</f>
        <v>128</v>
      </c>
      <c r="M22" s="18"/>
    </row>
    <row r="23" customFormat="false" ht="15" hidden="false" customHeight="false" outlineLevel="0" collapsed="false">
      <c r="A23" s="13" t="n">
        <v>7</v>
      </c>
      <c r="B23" s="13" t="n">
        <v>1</v>
      </c>
      <c r="C23" s="13" t="n">
        <v>1</v>
      </c>
      <c r="D23" s="13" t="n">
        <f aca="false">B23-C23</f>
        <v>0</v>
      </c>
      <c r="E23" s="11"/>
      <c r="F23" s="9"/>
      <c r="G23" s="9"/>
      <c r="H23" s="9"/>
      <c r="I23" s="9"/>
      <c r="J23" s="9"/>
      <c r="K23" s="9"/>
      <c r="L23" s="9"/>
      <c r="M23" s="18"/>
    </row>
    <row r="24" customFormat="false" ht="15" hidden="false" customHeight="false" outlineLevel="0" collapsed="false">
      <c r="A24" s="13" t="n">
        <v>8</v>
      </c>
      <c r="B24" s="13" t="n">
        <v>15</v>
      </c>
      <c r="C24" s="13" t="n">
        <v>2</v>
      </c>
      <c r="D24" s="13" t="n">
        <f aca="false">B24-C24</f>
        <v>13</v>
      </c>
      <c r="E24" s="11"/>
      <c r="F24" s="9"/>
      <c r="G24" s="9"/>
      <c r="H24" s="9"/>
      <c r="I24" s="9"/>
      <c r="J24" s="9"/>
      <c r="K24" s="9"/>
      <c r="L24" s="9"/>
      <c r="M24" s="18"/>
    </row>
    <row r="25" customFormat="false" ht="15" hidden="false" customHeight="false" outlineLevel="0" collapsed="false">
      <c r="A25" s="11" t="n">
        <v>9</v>
      </c>
      <c r="B25" s="11" t="n">
        <v>48</v>
      </c>
      <c r="C25" s="11" t="n">
        <v>43</v>
      </c>
      <c r="D25" s="11" t="n">
        <f aca="false">B25-C25</f>
        <v>5</v>
      </c>
      <c r="E25" s="11"/>
      <c r="F25" s="9"/>
      <c r="G25" s="9"/>
      <c r="H25" s="9"/>
      <c r="I25" s="9"/>
      <c r="J25" s="9"/>
      <c r="K25" s="9"/>
      <c r="L25" s="9"/>
      <c r="M25" s="18"/>
    </row>
    <row r="26" customFormat="false" ht="15" hidden="false" customHeight="false" outlineLevel="0" collapsed="false">
      <c r="A26" s="9"/>
      <c r="B26" s="11" t="n">
        <f aca="false">SUM(B17:B25)</f>
        <v>162</v>
      </c>
      <c r="C26" s="11" t="n">
        <f aca="false">SUM(C17:C25)</f>
        <v>95</v>
      </c>
      <c r="D26" s="11" t="n">
        <f aca="false">SUM(D17:D25)</f>
        <v>67</v>
      </c>
      <c r="E26" s="9"/>
      <c r="F26" s="9" t="s">
        <v>3624</v>
      </c>
      <c r="G26" s="9"/>
      <c r="H26" s="9"/>
      <c r="I26" s="9"/>
      <c r="J26" s="9"/>
      <c r="K26" s="9"/>
      <c r="L26" s="9"/>
      <c r="M26" s="18"/>
    </row>
    <row r="27" customFormat="false" ht="15" hidden="false" customHeight="false" outlineLevel="0" collapsed="false">
      <c r="A27" s="9"/>
      <c r="B27" s="9"/>
      <c r="C27" s="9"/>
      <c r="D27" s="9"/>
      <c r="E27" s="9"/>
      <c r="F27" s="9"/>
      <c r="G27" s="9"/>
      <c r="H27" s="9"/>
      <c r="I27" s="9"/>
      <c r="J27" s="9"/>
      <c r="K27" s="9"/>
      <c r="L27" s="9"/>
      <c r="M27" s="18"/>
    </row>
  </sheetData>
  <mergeCells count="11">
    <mergeCell ref="H1:M1"/>
    <mergeCell ref="I3:M3"/>
    <mergeCell ref="I5:M5"/>
    <mergeCell ref="I6:M6"/>
    <mergeCell ref="I8:M8"/>
    <mergeCell ref="I10:M10"/>
    <mergeCell ref="I11:M11"/>
    <mergeCell ref="I13:M13"/>
    <mergeCell ref="I14:M14"/>
    <mergeCell ref="I15:M15"/>
    <mergeCell ref="I18:M1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8.6875" defaultRowHeight="12.75" zeroHeight="false" outlineLevelRow="0" outlineLevelCol="0"/>
  <cols>
    <col collapsed="false" customWidth="true" hidden="false" outlineLevel="0" max="1" min="1" style="0" width="16.78"/>
  </cols>
  <sheetData>
    <row r="1" customFormat="false" ht="12.75" hidden="false" customHeight="false" outlineLevel="0" collapsed="false">
      <c r="A1" s="20" t="s">
        <v>3625</v>
      </c>
    </row>
    <row r="4" customFormat="false" ht="12.75" hidden="false" customHeight="false" outlineLevel="0" collapsed="false">
      <c r="A4" s="20" t="s">
        <v>3626</v>
      </c>
      <c r="B4" s="0" t="n">
        <f aca="false">'SR properties'!K1397</f>
        <v>265</v>
      </c>
    </row>
    <row r="5" customFormat="false" ht="12.75" hidden="false" customHeight="false" outlineLevel="0" collapsed="false">
      <c r="A5" s="20" t="s">
        <v>3627</v>
      </c>
      <c r="B5" s="0" t="n">
        <f aca="false">'RR3 properties'!K115</f>
        <v>15</v>
      </c>
    </row>
    <row r="6" customFormat="false" ht="12.75" hidden="false" customHeight="false" outlineLevel="0" collapsed="false">
      <c r="A6" s="20" t="s">
        <v>3628</v>
      </c>
      <c r="B6" s="0" t="n">
        <f aca="false">'RR1,RR2'!K277</f>
        <v>98</v>
      </c>
    </row>
    <row r="8" customFormat="false" ht="12.75" hidden="false" customHeight="false" outlineLevel="0" collapsed="false">
      <c r="A8" s="20" t="s">
        <v>3629</v>
      </c>
      <c r="B8" s="0" t="n">
        <f aca="false">SUM(B4:B6)</f>
        <v>378</v>
      </c>
    </row>
    <row r="9" customFormat="false" ht="12.75" hidden="false" customHeight="false" outlineLevel="0" collapsed="false">
      <c r="A9" s="20" t="s">
        <v>3630</v>
      </c>
      <c r="B9" s="0" t="n">
        <f aca="false">'CD Zones Unused Zoning'!D12</f>
        <v>351</v>
      </c>
    </row>
    <row r="10" customFormat="false" ht="12.75" hidden="false" customHeight="false" outlineLevel="0" collapsed="false">
      <c r="A10" s="20" t="s">
        <v>3631</v>
      </c>
      <c r="B10" s="0" t="n">
        <v>280</v>
      </c>
    </row>
    <row r="11" customFormat="false" ht="12.75" hidden="false" customHeight="false" outlineLevel="0" collapsed="false">
      <c r="A11" s="21" t="s">
        <v>3632</v>
      </c>
      <c r="B11" s="21" t="n">
        <f aca="false">SUM(B8:B10)</f>
        <v>1009</v>
      </c>
    </row>
    <row r="12" customFormat="false" ht="12.75" hidden="false" customHeight="false" outlineLevel="0" collapsed="false">
      <c r="A12" s="2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2025-02-20T22:14:34Z</dcterms:created>
  <dc:creator>Daniel Martin</dc:creator>
  <dc:description/>
  <dc:language>en-CA</dc:language>
  <cp:lastModifiedBy/>
  <dcterms:modified xsi:type="dcterms:W3CDTF">2025-05-16T14:42:27Z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