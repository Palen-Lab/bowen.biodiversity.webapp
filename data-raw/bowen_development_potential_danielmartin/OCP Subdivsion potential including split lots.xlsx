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lanning Projects\Housing\Population\Vacant and Subdivision Data for Council Report\"/>
    </mc:Choice>
  </mc:AlternateContent>
  <xr:revisionPtr revIDLastSave="0" documentId="13_ncr:1_{4DA39399-798B-4C86-9161-0ADE444E2002}" xr6:coauthVersionLast="47" xr6:coauthVersionMax="47" xr10:uidLastSave="{00000000-0000-0000-0000-000000000000}"/>
  <bookViews>
    <workbookView xWindow="-120" yWindow="-120" windowWidth="29040" windowHeight="15720" xr2:uid="{A7A2BEDA-A356-40D1-AA83-8B95CBFBC73C}"/>
  </bookViews>
  <sheets>
    <sheet name="OCP Potential" sheetId="1" r:id="rId1"/>
    <sheet name="CD Zones Unused Zoning" sheetId="2" r:id="rId2"/>
  </sheets>
  <definedNames>
    <definedName name="_xlnm.Database">'OCP Potential'!$A$1:$C$134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6" i="1" l="1"/>
  <c r="U115" i="1"/>
  <c r="K141" i="1" l="1"/>
  <c r="L141" i="1" s="1"/>
  <c r="G141" i="1"/>
  <c r="I141" i="1" s="1"/>
  <c r="K140" i="1"/>
  <c r="L140" i="1" s="1"/>
  <c r="N140" i="1" s="1"/>
  <c r="T140" i="1" s="1"/>
  <c r="G140" i="1"/>
  <c r="I140" i="1" s="1"/>
  <c r="D140" i="1"/>
  <c r="K134" i="1"/>
  <c r="L134" i="1" s="1"/>
  <c r="G134" i="1"/>
  <c r="I134" i="1" s="1"/>
  <c r="G133" i="1"/>
  <c r="I133" i="1" s="1"/>
  <c r="K133" i="1"/>
  <c r="L133" i="1" s="1"/>
  <c r="K132" i="1"/>
  <c r="L132" i="1" s="1"/>
  <c r="G132" i="1"/>
  <c r="I132" i="1" s="1"/>
  <c r="K130" i="1"/>
  <c r="L130" i="1" s="1"/>
  <c r="G130" i="1"/>
  <c r="I130" i="1" s="1"/>
  <c r="F131" i="1" l="1"/>
  <c r="G131" i="1" s="1"/>
  <c r="I131" i="1" s="1"/>
  <c r="N134" i="1"/>
  <c r="T134" i="1" s="1"/>
  <c r="N133" i="1"/>
  <c r="T133" i="1" s="1"/>
  <c r="N132" i="1"/>
  <c r="T132" i="1" s="1"/>
  <c r="N130" i="1"/>
  <c r="T130" i="1" s="1"/>
  <c r="L131" i="1"/>
  <c r="N131" i="1" s="1"/>
  <c r="K139" i="1"/>
  <c r="L139" i="1" s="1"/>
  <c r="N139" i="1" s="1"/>
  <c r="G139" i="1"/>
  <c r="I139" i="1" s="1"/>
  <c r="K138" i="1"/>
  <c r="G138" i="1"/>
  <c r="I138" i="1" s="1"/>
  <c r="L138" i="1"/>
  <c r="N138" i="1" s="1"/>
  <c r="T138" i="1" s="1"/>
  <c r="P137" i="1"/>
  <c r="Q137" i="1" s="1"/>
  <c r="L137" i="1"/>
  <c r="N137" i="1" s="1"/>
  <c r="G137" i="1"/>
  <c r="I137" i="1" s="1"/>
  <c r="F135" i="1"/>
  <c r="G135" i="1" s="1"/>
  <c r="I135" i="1" s="1"/>
  <c r="F136" i="1"/>
  <c r="K136" i="1" s="1"/>
  <c r="L136" i="1" s="1"/>
  <c r="N136" i="1" s="1"/>
  <c r="D131" i="1"/>
  <c r="D130" i="1"/>
  <c r="D3" i="2"/>
  <c r="D4" i="2"/>
  <c r="D5" i="2"/>
  <c r="D6" i="2"/>
  <c r="D9" i="2"/>
  <c r="D10" i="2"/>
  <c r="D17" i="2"/>
  <c r="D18" i="2"/>
  <c r="D19" i="2"/>
  <c r="D20" i="2"/>
  <c r="D21" i="2"/>
  <c r="D22" i="2"/>
  <c r="I22" i="2"/>
  <c r="K22" i="2"/>
  <c r="D23" i="2"/>
  <c r="D24" i="2"/>
  <c r="D25" i="2"/>
  <c r="B26" i="2"/>
  <c r="C26" i="2"/>
  <c r="J7" i="2" s="1"/>
  <c r="J22" i="2" s="1"/>
  <c r="D74" i="1"/>
  <c r="N74" i="1" s="1"/>
  <c r="O74" i="1" s="1"/>
  <c r="D54" i="1"/>
  <c r="N54" i="1" s="1"/>
  <c r="O54" i="1" s="1"/>
  <c r="D135" i="1"/>
  <c r="D51" i="1"/>
  <c r="N51" i="1" s="1"/>
  <c r="O51" i="1" s="1"/>
  <c r="D20" i="1"/>
  <c r="N20" i="1" s="1"/>
  <c r="O20" i="1" s="1"/>
  <c r="D61" i="1"/>
  <c r="N61" i="1" s="1"/>
  <c r="O61" i="1" s="1"/>
  <c r="D134" i="1"/>
  <c r="D132" i="1"/>
  <c r="D18" i="1"/>
  <c r="N18" i="1" s="1"/>
  <c r="O18" i="1" s="1"/>
  <c r="D66" i="1"/>
  <c r="N66" i="1" s="1"/>
  <c r="O66" i="1" s="1"/>
  <c r="D119" i="1"/>
  <c r="N119" i="1" s="1"/>
  <c r="O119" i="1" s="1"/>
  <c r="D14" i="1"/>
  <c r="N14" i="1" s="1"/>
  <c r="O14" i="1" s="1"/>
  <c r="D5" i="1"/>
  <c r="N5" i="1" s="1"/>
  <c r="O5" i="1" s="1"/>
  <c r="D2" i="1"/>
  <c r="N2" i="1" s="1"/>
  <c r="O2" i="1" s="1"/>
  <c r="D11" i="1"/>
  <c r="N11" i="1" s="1"/>
  <c r="O11" i="1" s="1"/>
  <c r="D3" i="1"/>
  <c r="N3" i="1" s="1"/>
  <c r="O3" i="1" s="1"/>
  <c r="D7" i="1"/>
  <c r="N7" i="1" s="1"/>
  <c r="O7" i="1" s="1"/>
  <c r="D8" i="1"/>
  <c r="N8" i="1" s="1"/>
  <c r="O8" i="1" s="1"/>
  <c r="D4" i="1"/>
  <c r="N4" i="1" s="1"/>
  <c r="O4" i="1" s="1"/>
  <c r="D15" i="1"/>
  <c r="N15" i="1" s="1"/>
  <c r="O15" i="1" s="1"/>
  <c r="D13" i="1"/>
  <c r="N13" i="1" s="1"/>
  <c r="O13" i="1" s="1"/>
  <c r="D10" i="1"/>
  <c r="N10" i="1" s="1"/>
  <c r="O10" i="1" s="1"/>
  <c r="D9" i="1"/>
  <c r="N9" i="1" s="1"/>
  <c r="O9" i="1" s="1"/>
  <c r="D6" i="1"/>
  <c r="N6" i="1" s="1"/>
  <c r="O6" i="1" s="1"/>
  <c r="D137" i="1"/>
  <c r="D12" i="1"/>
  <c r="N12" i="1" s="1"/>
  <c r="O12" i="1" s="1"/>
  <c r="D17" i="1"/>
  <c r="N17" i="1" s="1"/>
  <c r="O17" i="1" s="1"/>
  <c r="D24" i="1"/>
  <c r="N24" i="1" s="1"/>
  <c r="O24" i="1" s="1"/>
  <c r="D32" i="1"/>
  <c r="N32" i="1" s="1"/>
  <c r="O32" i="1" s="1"/>
  <c r="D23" i="1"/>
  <c r="N23" i="1" s="1"/>
  <c r="O23" i="1" s="1"/>
  <c r="D21" i="1"/>
  <c r="N21" i="1" s="1"/>
  <c r="O21" i="1" s="1"/>
  <c r="D57" i="1"/>
  <c r="N57" i="1" s="1"/>
  <c r="O57" i="1" s="1"/>
  <c r="D22" i="1"/>
  <c r="N22" i="1" s="1"/>
  <c r="O22" i="1" s="1"/>
  <c r="D85" i="1"/>
  <c r="N85" i="1" s="1"/>
  <c r="O85" i="1" s="1"/>
  <c r="D105" i="1"/>
  <c r="N105" i="1" s="1"/>
  <c r="O105" i="1" s="1"/>
  <c r="D82" i="1"/>
  <c r="N82" i="1" s="1"/>
  <c r="O82" i="1" s="1"/>
  <c r="D81" i="1"/>
  <c r="N81" i="1" s="1"/>
  <c r="O81" i="1" s="1"/>
  <c r="D39" i="1"/>
  <c r="N39" i="1" s="1"/>
  <c r="O39" i="1" s="1"/>
  <c r="D86" i="1"/>
  <c r="N86" i="1" s="1"/>
  <c r="O86" i="1" s="1"/>
  <c r="D87" i="1"/>
  <c r="N87" i="1" s="1"/>
  <c r="O87" i="1" s="1"/>
  <c r="D65" i="1"/>
  <c r="N65" i="1" s="1"/>
  <c r="O65" i="1" s="1"/>
  <c r="D141" i="1"/>
  <c r="N141" i="1" s="1"/>
  <c r="D92" i="1"/>
  <c r="N92" i="1" s="1"/>
  <c r="O92" i="1" s="1"/>
  <c r="D138" i="1"/>
  <c r="D38" i="1"/>
  <c r="N38" i="1" s="1"/>
  <c r="O38" i="1" s="1"/>
  <c r="D62" i="1"/>
  <c r="N62" i="1" s="1"/>
  <c r="O62" i="1" s="1"/>
  <c r="D107" i="1"/>
  <c r="N107" i="1" s="1"/>
  <c r="O107" i="1" s="1"/>
  <c r="D106" i="1"/>
  <c r="N106" i="1" s="1"/>
  <c r="O106" i="1" s="1"/>
  <c r="D112" i="1"/>
  <c r="N112" i="1" s="1"/>
  <c r="O112" i="1" s="1"/>
  <c r="D44" i="1"/>
  <c r="N44" i="1" s="1"/>
  <c r="O44" i="1" s="1"/>
  <c r="D68" i="1"/>
  <c r="N68" i="1" s="1"/>
  <c r="O68" i="1" s="1"/>
  <c r="D47" i="1"/>
  <c r="N47" i="1" s="1"/>
  <c r="O47" i="1" s="1"/>
  <c r="D97" i="1"/>
  <c r="N97" i="1" s="1"/>
  <c r="O97" i="1" s="1"/>
  <c r="D136" i="1"/>
  <c r="D113" i="1"/>
  <c r="N113" i="1" s="1"/>
  <c r="O113" i="1" s="1"/>
  <c r="D117" i="1"/>
  <c r="N117" i="1" s="1"/>
  <c r="O117" i="1" s="1"/>
  <c r="D91" i="1"/>
  <c r="N91" i="1" s="1"/>
  <c r="O91" i="1" s="1"/>
  <c r="D90" i="1"/>
  <c r="N90" i="1" s="1"/>
  <c r="O90" i="1" s="1"/>
  <c r="D89" i="1"/>
  <c r="N89" i="1" s="1"/>
  <c r="O89" i="1" s="1"/>
  <c r="D139" i="1"/>
  <c r="D93" i="1"/>
  <c r="N93" i="1" s="1"/>
  <c r="O93" i="1" s="1"/>
  <c r="D56" i="1"/>
  <c r="N56" i="1" s="1"/>
  <c r="O56" i="1" s="1"/>
  <c r="D34" i="1"/>
  <c r="N34" i="1" s="1"/>
  <c r="O34" i="1" s="1"/>
  <c r="D52" i="1"/>
  <c r="N52" i="1" s="1"/>
  <c r="O52" i="1" s="1"/>
  <c r="D48" i="1"/>
  <c r="N48" i="1" s="1"/>
  <c r="O48" i="1" s="1"/>
  <c r="D111" i="1"/>
  <c r="N111" i="1" s="1"/>
  <c r="O111" i="1" s="1"/>
  <c r="D115" i="1"/>
  <c r="N115" i="1" s="1"/>
  <c r="O115" i="1" s="1"/>
  <c r="D71" i="1"/>
  <c r="N71" i="1" s="1"/>
  <c r="O71" i="1" s="1"/>
  <c r="D72" i="1"/>
  <c r="N72" i="1" s="1"/>
  <c r="O72" i="1" s="1"/>
  <c r="D70" i="1"/>
  <c r="N70" i="1" s="1"/>
  <c r="O70" i="1" s="1"/>
  <c r="D133" i="1"/>
  <c r="D116" i="1"/>
  <c r="N116" i="1" s="1"/>
  <c r="O116" i="1" s="1"/>
  <c r="D35" i="1"/>
  <c r="N35" i="1" s="1"/>
  <c r="O35" i="1" s="1"/>
  <c r="D67" i="1"/>
  <c r="N67" i="1" s="1"/>
  <c r="O67" i="1" s="1"/>
  <c r="D77" i="1"/>
  <c r="N77" i="1" s="1"/>
  <c r="O77" i="1" s="1"/>
  <c r="D40" i="1"/>
  <c r="N40" i="1" s="1"/>
  <c r="O40" i="1" s="1"/>
  <c r="D63" i="1"/>
  <c r="N63" i="1" s="1"/>
  <c r="O63" i="1" s="1"/>
  <c r="D31" i="1"/>
  <c r="N31" i="1" s="1"/>
  <c r="O31" i="1" s="1"/>
  <c r="D25" i="1"/>
  <c r="N25" i="1" s="1"/>
  <c r="O25" i="1" s="1"/>
  <c r="D118" i="1"/>
  <c r="N118" i="1" s="1"/>
  <c r="O118" i="1" s="1"/>
  <c r="D60" i="1"/>
  <c r="N60" i="1" s="1"/>
  <c r="O60" i="1" s="1"/>
  <c r="D100" i="1"/>
  <c r="N100" i="1" s="1"/>
  <c r="O100" i="1" s="1"/>
  <c r="D102" i="1"/>
  <c r="N102" i="1" s="1"/>
  <c r="O102" i="1" s="1"/>
  <c r="D29" i="1"/>
  <c r="N29" i="1" s="1"/>
  <c r="O29" i="1" s="1"/>
  <c r="D33" i="1"/>
  <c r="N33" i="1" s="1"/>
  <c r="O33" i="1" s="1"/>
  <c r="D95" i="1"/>
  <c r="N95" i="1" s="1"/>
  <c r="O95" i="1" s="1"/>
  <c r="D101" i="1"/>
  <c r="N101" i="1" s="1"/>
  <c r="O101" i="1" s="1"/>
  <c r="D80" i="1"/>
  <c r="N80" i="1" s="1"/>
  <c r="O80" i="1" s="1"/>
  <c r="D103" i="1"/>
  <c r="N103" i="1" s="1"/>
  <c r="O103" i="1" s="1"/>
  <c r="D84" i="1"/>
  <c r="N84" i="1" s="1"/>
  <c r="O84" i="1" s="1"/>
  <c r="D104" i="1"/>
  <c r="N104" i="1" s="1"/>
  <c r="O104" i="1" s="1"/>
  <c r="D45" i="1"/>
  <c r="N45" i="1" s="1"/>
  <c r="O45" i="1" s="1"/>
  <c r="D41" i="1"/>
  <c r="N41" i="1" s="1"/>
  <c r="O41" i="1" s="1"/>
  <c r="D114" i="1"/>
  <c r="N114" i="1" s="1"/>
  <c r="O114" i="1" s="1"/>
  <c r="D53" i="1"/>
  <c r="N53" i="1" s="1"/>
  <c r="O53" i="1" s="1"/>
  <c r="D96" i="1"/>
  <c r="N96" i="1" s="1"/>
  <c r="O96" i="1" s="1"/>
  <c r="D99" i="1"/>
  <c r="N99" i="1" s="1"/>
  <c r="O99" i="1" s="1"/>
  <c r="D42" i="1"/>
  <c r="N42" i="1" s="1"/>
  <c r="O42" i="1" s="1"/>
  <c r="D26" i="1"/>
  <c r="N26" i="1" s="1"/>
  <c r="O26" i="1" s="1"/>
  <c r="D27" i="1"/>
  <c r="N27" i="1" s="1"/>
  <c r="O27" i="1" s="1"/>
  <c r="D98" i="1"/>
  <c r="N98" i="1" s="1"/>
  <c r="O98" i="1" s="1"/>
  <c r="D110" i="1"/>
  <c r="N110" i="1" s="1"/>
  <c r="O110" i="1" s="1"/>
  <c r="D83" i="1"/>
  <c r="N83" i="1" s="1"/>
  <c r="O83" i="1" s="1"/>
  <c r="D37" i="1"/>
  <c r="N37" i="1" s="1"/>
  <c r="O37" i="1" s="1"/>
  <c r="D75" i="1"/>
  <c r="N75" i="1" s="1"/>
  <c r="O75" i="1" s="1"/>
  <c r="D76" i="1"/>
  <c r="N76" i="1" s="1"/>
  <c r="O76" i="1" s="1"/>
  <c r="D108" i="1"/>
  <c r="N108" i="1" s="1"/>
  <c r="O108" i="1" s="1"/>
  <c r="D109" i="1"/>
  <c r="N109" i="1" s="1"/>
  <c r="O109" i="1" s="1"/>
  <c r="D58" i="1"/>
  <c r="N58" i="1" s="1"/>
  <c r="O58" i="1" s="1"/>
  <c r="D59" i="1"/>
  <c r="N59" i="1" s="1"/>
  <c r="O59" i="1" s="1"/>
  <c r="D50" i="1"/>
  <c r="N50" i="1" s="1"/>
  <c r="O50" i="1" s="1"/>
  <c r="D16" i="1"/>
  <c r="N16" i="1" s="1"/>
  <c r="O16" i="1" s="1"/>
  <c r="D49" i="1"/>
  <c r="N49" i="1" s="1"/>
  <c r="O49" i="1" s="1"/>
  <c r="D78" i="1"/>
  <c r="N78" i="1" s="1"/>
  <c r="O78" i="1" s="1"/>
  <c r="D36" i="1"/>
  <c r="N36" i="1" s="1"/>
  <c r="O36" i="1" s="1"/>
  <c r="D73" i="1"/>
  <c r="N73" i="1" s="1"/>
  <c r="O73" i="1" s="1"/>
  <c r="D64" i="1"/>
  <c r="N64" i="1" s="1"/>
  <c r="O64" i="1" s="1"/>
  <c r="D69" i="1"/>
  <c r="N69" i="1" s="1"/>
  <c r="O69" i="1" s="1"/>
  <c r="D19" i="1"/>
  <c r="N19" i="1" s="1"/>
  <c r="O19" i="1" s="1"/>
  <c r="D30" i="1"/>
  <c r="N30" i="1" s="1"/>
  <c r="O30" i="1" s="1"/>
  <c r="D94" i="1"/>
  <c r="N94" i="1" s="1"/>
  <c r="O94" i="1" s="1"/>
  <c r="D46" i="1"/>
  <c r="N46" i="1" s="1"/>
  <c r="O46" i="1" s="1"/>
  <c r="D79" i="1"/>
  <c r="N79" i="1" s="1"/>
  <c r="O79" i="1" s="1"/>
  <c r="D88" i="1"/>
  <c r="N88" i="1" s="1"/>
  <c r="O88" i="1" s="1"/>
  <c r="D43" i="1"/>
  <c r="N43" i="1" s="1"/>
  <c r="O43" i="1" s="1"/>
  <c r="D55" i="1"/>
  <c r="N55" i="1" s="1"/>
  <c r="O55" i="1" s="1"/>
  <c r="D28" i="1"/>
  <c r="N28" i="1" s="1"/>
  <c r="O28" i="1" s="1"/>
  <c r="O141" i="1" l="1"/>
  <c r="T141" i="1"/>
  <c r="T139" i="1"/>
  <c r="T131" i="1"/>
  <c r="O123" i="1"/>
  <c r="P131" i="1"/>
  <c r="Q131" i="1" s="1"/>
  <c r="O139" i="1"/>
  <c r="S137" i="1"/>
  <c r="T137" i="1" s="1"/>
  <c r="K135" i="1"/>
  <c r="L135" i="1" s="1"/>
  <c r="N135" i="1" s="1"/>
  <c r="T135" i="1" s="1"/>
  <c r="G136" i="1"/>
  <c r="D26" i="2"/>
  <c r="L7" i="2" s="1"/>
  <c r="L22" i="2" s="1"/>
  <c r="D12" i="2"/>
  <c r="I136" i="1" l="1"/>
  <c r="T136" i="1" s="1"/>
  <c r="O143" i="1" s="1"/>
</calcChain>
</file>

<file path=xl/sharedStrings.xml><?xml version="1.0" encoding="utf-8"?>
<sst xmlns="http://schemas.openxmlformats.org/spreadsheetml/2006/main" count="351" uniqueCount="173">
  <si>
    <t>pid</t>
  </si>
  <si>
    <t>Shape__Are</t>
  </si>
  <si>
    <t>area_sqm</t>
  </si>
  <si>
    <t>006860869</t>
  </si>
  <si>
    <t>026907194</t>
  </si>
  <si>
    <t>026907216</t>
  </si>
  <si>
    <t>006860907</t>
  </si>
  <si>
    <t>007622520</t>
  </si>
  <si>
    <t>025880349</t>
  </si>
  <si>
    <t>026907208</t>
  </si>
  <si>
    <t>018101020</t>
  </si>
  <si>
    <t>027341976</t>
  </si>
  <si>
    <t>019138148</t>
  </si>
  <si>
    <t>027341992</t>
  </si>
  <si>
    <t>009370315</t>
  </si>
  <si>
    <t>008962138</t>
  </si>
  <si>
    <t>030070562</t>
  </si>
  <si>
    <t>011641525</t>
  </si>
  <si>
    <t>025993135</t>
  </si>
  <si>
    <t>026854015</t>
  </si>
  <si>
    <t>009011684</t>
  </si>
  <si>
    <t>006340288</t>
  </si>
  <si>
    <t>006841601</t>
  </si>
  <si>
    <t>026836963</t>
  </si>
  <si>
    <t>028287827</t>
  </si>
  <si>
    <t>018890334</t>
  </si>
  <si>
    <t>008652066</t>
  </si>
  <si>
    <t>017376475</t>
  </si>
  <si>
    <t>017376483</t>
  </si>
  <si>
    <t>028057252</t>
  </si>
  <si>
    <t>028057261</t>
  </si>
  <si>
    <t>014483939</t>
  </si>
  <si>
    <t>014483947</t>
  </si>
  <si>
    <t>011081775</t>
  </si>
  <si>
    <t>002487951</t>
  </si>
  <si>
    <t>011081741</t>
  </si>
  <si>
    <t>017924642</t>
  </si>
  <si>
    <t>008017573</t>
  </si>
  <si>
    <t>016284712</t>
  </si>
  <si>
    <t>015931790</t>
  </si>
  <si>
    <t>003560511</t>
  </si>
  <si>
    <t>007249055</t>
  </si>
  <si>
    <t>025784111</t>
  </si>
  <si>
    <t>010794603</t>
  </si>
  <si>
    <t>018075924</t>
  </si>
  <si>
    <t>024667056</t>
  </si>
  <si>
    <t>009074040</t>
  </si>
  <si>
    <t>012736198</t>
  </si>
  <si>
    <t>OCP Designation</t>
  </si>
  <si>
    <t>RS [e]</t>
  </si>
  <si>
    <t>Area (ha)</t>
  </si>
  <si>
    <t>Minimum Area</t>
  </si>
  <si>
    <t>Additional Lots</t>
  </si>
  <si>
    <t>Maximum Lots</t>
  </si>
  <si>
    <t>002687071</t>
  </si>
  <si>
    <t>005486564</t>
  </si>
  <si>
    <t>007439369</t>
  </si>
  <si>
    <t>005486548</t>
  </si>
  <si>
    <t>005486483</t>
  </si>
  <si>
    <t>013966472</t>
  </si>
  <si>
    <t>005486521</t>
  </si>
  <si>
    <t>023264047</t>
  </si>
  <si>
    <t>027822168</t>
  </si>
  <si>
    <t>018790852</t>
  </si>
  <si>
    <t>018790844</t>
  </si>
  <si>
    <t>008778001</t>
  </si>
  <si>
    <t>024138100</t>
  </si>
  <si>
    <t>024138126</t>
  </si>
  <si>
    <t>015898857</t>
  </si>
  <si>
    <t>012147869</t>
  </si>
  <si>
    <t>025766414</t>
  </si>
  <si>
    <t>028211073</t>
  </si>
  <si>
    <t>008684073</t>
  </si>
  <si>
    <t>015818055</t>
  </si>
  <si>
    <t>027822184</t>
  </si>
  <si>
    <t>027822176</t>
  </si>
  <si>
    <t>029400023</t>
  </si>
  <si>
    <t>009097368</t>
  </si>
  <si>
    <t>015931170</t>
  </si>
  <si>
    <t>010898000</t>
  </si>
  <si>
    <t>026506076</t>
  </si>
  <si>
    <t>025487884</t>
  </si>
  <si>
    <t>029400031</t>
  </si>
  <si>
    <t>030562309</t>
  </si>
  <si>
    <t>025766406</t>
  </si>
  <si>
    <t>025766392</t>
  </si>
  <si>
    <t>025766376</t>
  </si>
  <si>
    <t>025766422</t>
  </si>
  <si>
    <t>013966421</t>
  </si>
  <si>
    <t>007679564</t>
  </si>
  <si>
    <t>011316055</t>
  </si>
  <si>
    <t>010932887</t>
  </si>
  <si>
    <t>028883951</t>
  </si>
  <si>
    <t>030334675</t>
  </si>
  <si>
    <t>015940951</t>
  </si>
  <si>
    <t>015940993</t>
  </si>
  <si>
    <t>015931811</t>
  </si>
  <si>
    <t>002578905</t>
  </si>
  <si>
    <t>030334683</t>
  </si>
  <si>
    <t>007698372</t>
  </si>
  <si>
    <t>015920003</t>
  </si>
  <si>
    <t>017793467</t>
  </si>
  <si>
    <t>008778248</t>
  </si>
  <si>
    <t>015818098</t>
  </si>
  <si>
    <t>007273789</t>
  </si>
  <si>
    <t>005486602</t>
  </si>
  <si>
    <t>032280947</t>
  </si>
  <si>
    <t>015026841</t>
  </si>
  <si>
    <t>RS</t>
  </si>
  <si>
    <t>R1</t>
  </si>
  <si>
    <t>016766032</t>
  </si>
  <si>
    <t>012148024</t>
  </si>
  <si>
    <t>025487876</t>
  </si>
  <si>
    <t>011128852</t>
  </si>
  <si>
    <t>005184801</t>
  </si>
  <si>
    <t>015763609</t>
  </si>
  <si>
    <t>009014578</t>
  </si>
  <si>
    <t>005783780</t>
  </si>
  <si>
    <t>003358887</t>
  </si>
  <si>
    <t>015900622</t>
  </si>
  <si>
    <t>R</t>
  </si>
  <si>
    <t>Total</t>
  </si>
  <si>
    <t xml:space="preserve"> </t>
  </si>
  <si>
    <t>TOTALS</t>
  </si>
  <si>
    <t>Yes</t>
  </si>
  <si>
    <t>CD22 Community Lands Lot 1</t>
  </si>
  <si>
    <t>CD21 Grafton Lake</t>
  </si>
  <si>
    <t>Not included</t>
  </si>
  <si>
    <t>CD20 Bowen Investments</t>
  </si>
  <si>
    <t>CD19 Community Lands Lot 2</t>
  </si>
  <si>
    <t>CD18 Arbutus Ridge</t>
  </si>
  <si>
    <t>Active Subdivisions</t>
  </si>
  <si>
    <t>Remaining</t>
  </si>
  <si>
    <t>Already Developed</t>
  </si>
  <si>
    <t>Total Permitted</t>
  </si>
  <si>
    <t>Area</t>
  </si>
  <si>
    <t>CD17 Proctor</t>
  </si>
  <si>
    <t>Cowan Point zone</t>
  </si>
  <si>
    <t>CD16 Belterra</t>
  </si>
  <si>
    <t>CD15 Seniors Precinct</t>
  </si>
  <si>
    <t>CD12 Greenway West (Evergreen)</t>
  </si>
  <si>
    <t>Evergreen</t>
  </si>
  <si>
    <t>Lots to be created</t>
  </si>
  <si>
    <t>CD10 Ruddy Potato</t>
  </si>
  <si>
    <t>CD9 Buchanan</t>
  </si>
  <si>
    <t>Cates Hill (Parkview Slopes)</t>
  </si>
  <si>
    <t>CD8 Malkin Creek</t>
  </si>
  <si>
    <t>CD 20 (the Pub)</t>
  </si>
  <si>
    <t>CD7 Reid/ Pass</t>
  </si>
  <si>
    <t>N/A</t>
  </si>
  <si>
    <t>Community Lands Lot 2</t>
  </si>
  <si>
    <t>CD6 Cowan Point</t>
  </si>
  <si>
    <t>Community Lands Lot 1</t>
  </si>
  <si>
    <t>CD 4 Hood Point</t>
  </si>
  <si>
    <t>Seymour Bay</t>
  </si>
  <si>
    <t>CD3 Bowen Bay</t>
  </si>
  <si>
    <t>Grafton Lake</t>
  </si>
  <si>
    <t>CD2 Cates Hill (Area 2)(Area 4)</t>
  </si>
  <si>
    <t>Arbutus Ridge</t>
  </si>
  <si>
    <t>CD1 Artisan Square</t>
  </si>
  <si>
    <t>Evergreen (CD 12 &amp; 8)</t>
  </si>
  <si>
    <t>Include on Map?</t>
  </si>
  <si>
    <t>In Progress</t>
  </si>
  <si>
    <t>Existing</t>
  </si>
  <si>
    <t>Zone</t>
  </si>
  <si>
    <t>Already developed</t>
  </si>
  <si>
    <t>2024 Update on Subdivisions and Available Lots</t>
  </si>
  <si>
    <t>Split Designation Lots</t>
  </si>
  <si>
    <t>Total Area (ha)</t>
  </si>
  <si>
    <t>RS[e]</t>
  </si>
  <si>
    <t>ALR</t>
  </si>
  <si>
    <t>NA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</si>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</sst>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"/>
    <numFmt numFmtId="166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18" fillId="33" borderId="10" xfId="0" applyNumberFormat="1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right"/>
    </xf>
    <xf numFmtId="0" fontId="20" fillId="34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0" fillId="34" borderId="10" xfId="0" applyFont="1" applyFill="1" applyBorder="1"/>
    <xf numFmtId="0" fontId="21" fillId="0" borderId="10" xfId="0" applyFont="1" applyBorder="1"/>
    <xf numFmtId="0" fontId="20" fillId="0" borderId="10" xfId="0" applyFont="1" applyBorder="1"/>
    <xf numFmtId="2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2" fontId="18" fillId="33" borderId="16" xfId="0" applyNumberFormat="1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2AEF-32DA-423B-806F-73271BB6AEE1}">
  <dimension ref="A1:U146"/>
  <sheetViews>
    <sheetView tabSelected="1" zoomScaleNormal="100" workbookViewId="0">
      <selection activeCell="F4" sqref="F4"/>
    </sheetView>
  </sheetViews>
  <sheetFormatPr defaultRowHeight="15" x14ac:dyDescent="0.25"/>
  <cols>
    <col min="1" max="1" width="13.42578125" style="1" customWidth="1"/>
    <col min="2" max="2" width="40.7109375" style="17" customWidth="1"/>
    <col min="3" max="3" width="19.7109375" style="16" customWidth="1"/>
    <col min="4" max="4" width="19.7109375" style="2" customWidth="1"/>
    <col min="5" max="5" width="15.85546875" bestFit="1" customWidth="1"/>
    <col min="6" max="6" width="20.42578125" customWidth="1"/>
    <col min="7" max="8" width="12.28515625" customWidth="1"/>
    <col min="9" max="9" width="13.28515625" bestFit="1" customWidth="1"/>
    <col min="10" max="10" width="12.28515625" customWidth="1"/>
    <col min="11" max="11" width="13.42578125" customWidth="1"/>
    <col min="12" max="12" width="12.28515625" customWidth="1"/>
    <col min="13" max="13" width="12.5703125" bestFit="1" customWidth="1"/>
    <col min="14" max="14" width="12.42578125" bestFit="1" customWidth="1"/>
    <col min="16" max="16" width="13" bestFit="1" customWidth="1"/>
    <col min="20" max="20" width="12.28515625" customWidth="1"/>
  </cols>
  <sheetData>
    <row r="1" spans="1:15" x14ac:dyDescent="0.25">
      <c r="A1" s="1" t="s">
        <v>0</v>
      </c>
      <c r="B1" s="17" t="s">
        <v>1</v>
      </c>
      <c r="C1" s="16" t="s">
        <v>2</v>
      </c>
      <c r="D1" s="2" t="s">
        <v>50</v>
      </c>
      <c r="E1" t="s">
        <v>48</v>
      </c>
      <c r="H1" s="25"/>
      <c r="I1" s="25"/>
      <c r="J1" s="25"/>
      <c r="M1" s="2" t="s">
        <v>51</v>
      </c>
      <c r="N1" s="2" t="s">
        <v>53</v>
      </c>
      <c r="O1" s="2" t="s">
        <v>52</v>
      </c>
    </row>
    <row r="2" spans="1:15" ht="15.75" x14ac:dyDescent="0.25">
      <c r="A2" s="1">
        <v>5178819</v>
      </c>
      <c r="B2" s="17">
        <v>41627.304496500001</v>
      </c>
      <c r="C2" s="16">
        <v>41627.303999999996</v>
      </c>
      <c r="D2" s="3">
        <f t="shared" ref="D2:D33" si="0">CONVERT(C2,"m^2","ha")</f>
        <v>4.1627304000000001</v>
      </c>
      <c r="E2" t="s">
        <v>109</v>
      </c>
      <c r="M2">
        <v>2</v>
      </c>
      <c r="N2">
        <f t="shared" ref="N2:N33" si="1">ROUNDDOWN(D2/M2,0)</f>
        <v>2</v>
      </c>
      <c r="O2">
        <f t="shared" ref="O2:O33" si="2">N2-1</f>
        <v>1</v>
      </c>
    </row>
    <row r="3" spans="1:15" ht="15.75" x14ac:dyDescent="0.25">
      <c r="A3" s="1">
        <v>5486467</v>
      </c>
      <c r="B3" s="17">
        <v>41413.239957700003</v>
      </c>
      <c r="C3" s="16">
        <v>41413.24</v>
      </c>
      <c r="D3" s="3">
        <f t="shared" si="0"/>
        <v>4.141324</v>
      </c>
      <c r="E3" t="s">
        <v>109</v>
      </c>
      <c r="M3">
        <v>2</v>
      </c>
      <c r="N3">
        <f t="shared" si="1"/>
        <v>2</v>
      </c>
      <c r="O3">
        <f t="shared" si="2"/>
        <v>1</v>
      </c>
    </row>
    <row r="4" spans="1:15" ht="15.75" x14ac:dyDescent="0.25">
      <c r="A4" s="1">
        <v>6030475</v>
      </c>
      <c r="B4" s="17">
        <v>40425.131551899998</v>
      </c>
      <c r="C4" s="16">
        <v>40425.131999999998</v>
      </c>
      <c r="D4" s="3">
        <f t="shared" si="0"/>
        <v>4.0425132000000001</v>
      </c>
      <c r="E4" t="s">
        <v>109</v>
      </c>
      <c r="M4">
        <v>2</v>
      </c>
      <c r="N4">
        <f t="shared" si="1"/>
        <v>2</v>
      </c>
      <c r="O4">
        <f t="shared" si="2"/>
        <v>1</v>
      </c>
    </row>
    <row r="5" spans="1:15" ht="15.75" x14ac:dyDescent="0.25">
      <c r="A5" s="1">
        <v>6777538</v>
      </c>
      <c r="B5" s="17">
        <v>84275.740704199998</v>
      </c>
      <c r="C5" s="16">
        <v>84275.740999999995</v>
      </c>
      <c r="D5" s="3">
        <f t="shared" si="0"/>
        <v>8.4275740999999993</v>
      </c>
      <c r="E5" t="s">
        <v>109</v>
      </c>
      <c r="M5">
        <v>2</v>
      </c>
      <c r="N5">
        <f t="shared" si="1"/>
        <v>4</v>
      </c>
      <c r="O5">
        <f t="shared" si="2"/>
        <v>3</v>
      </c>
    </row>
    <row r="6" spans="1:15" ht="15.75" x14ac:dyDescent="0.25">
      <c r="A6" s="1">
        <v>14593548</v>
      </c>
      <c r="B6" s="17">
        <v>79345.177252099995</v>
      </c>
      <c r="C6" s="16">
        <v>79345.176999999996</v>
      </c>
      <c r="D6" s="3">
        <f t="shared" si="0"/>
        <v>7.9345176999999998</v>
      </c>
      <c r="E6" t="s">
        <v>109</v>
      </c>
      <c r="M6">
        <v>2</v>
      </c>
      <c r="N6">
        <f t="shared" si="1"/>
        <v>3</v>
      </c>
      <c r="O6">
        <f t="shared" si="2"/>
        <v>2</v>
      </c>
    </row>
    <row r="7" spans="1:15" ht="15.75" x14ac:dyDescent="0.25">
      <c r="A7" s="1">
        <v>15943402</v>
      </c>
      <c r="B7" s="17">
        <v>218423.58576399999</v>
      </c>
      <c r="C7" s="16">
        <v>218430.22200000001</v>
      </c>
      <c r="D7" s="3">
        <f t="shared" si="0"/>
        <v>21.843022200000004</v>
      </c>
      <c r="E7" t="s">
        <v>109</v>
      </c>
      <c r="M7">
        <v>2</v>
      </c>
      <c r="N7">
        <f t="shared" si="1"/>
        <v>10</v>
      </c>
      <c r="O7">
        <f t="shared" si="2"/>
        <v>9</v>
      </c>
    </row>
    <row r="8" spans="1:15" ht="15.75" x14ac:dyDescent="0.25">
      <c r="A8" s="1">
        <v>16595084</v>
      </c>
      <c r="B8" s="17">
        <v>142901.595589</v>
      </c>
      <c r="C8" s="16">
        <v>142901.59599999999</v>
      </c>
      <c r="D8" s="3">
        <f t="shared" si="0"/>
        <v>14.290159599999999</v>
      </c>
      <c r="E8" t="s">
        <v>109</v>
      </c>
      <c r="M8">
        <v>2</v>
      </c>
      <c r="N8">
        <f t="shared" si="1"/>
        <v>7</v>
      </c>
      <c r="O8">
        <f t="shared" si="2"/>
        <v>6</v>
      </c>
    </row>
    <row r="9" spans="1:15" ht="15.75" x14ac:dyDescent="0.25">
      <c r="A9" s="1">
        <v>17793505</v>
      </c>
      <c r="B9" s="17">
        <v>41016.749111899997</v>
      </c>
      <c r="C9" s="16">
        <v>41016.749000000003</v>
      </c>
      <c r="D9" s="3">
        <f t="shared" si="0"/>
        <v>4.1016748999999999</v>
      </c>
      <c r="E9" t="s">
        <v>109</v>
      </c>
      <c r="M9">
        <v>2</v>
      </c>
      <c r="N9">
        <f t="shared" si="1"/>
        <v>2</v>
      </c>
      <c r="O9">
        <f t="shared" si="2"/>
        <v>1</v>
      </c>
    </row>
    <row r="10" spans="1:15" ht="15.75" x14ac:dyDescent="0.25">
      <c r="A10" s="1">
        <v>17793564</v>
      </c>
      <c r="B10" s="17">
        <v>40269.997074400002</v>
      </c>
      <c r="C10" s="16">
        <v>40269.997000000003</v>
      </c>
      <c r="D10" s="3">
        <f t="shared" si="0"/>
        <v>4.0269997000000002</v>
      </c>
      <c r="E10" t="s">
        <v>109</v>
      </c>
      <c r="M10">
        <v>2</v>
      </c>
      <c r="N10">
        <f t="shared" si="1"/>
        <v>2</v>
      </c>
      <c r="O10">
        <f t="shared" si="2"/>
        <v>1</v>
      </c>
    </row>
    <row r="11" spans="1:15" ht="15.75" x14ac:dyDescent="0.25">
      <c r="A11" s="1">
        <v>17793581</v>
      </c>
      <c r="B11" s="17">
        <v>40356.003484599998</v>
      </c>
      <c r="C11" s="16">
        <v>40356.002999999997</v>
      </c>
      <c r="D11" s="3">
        <f t="shared" si="0"/>
        <v>4.0356002999999996</v>
      </c>
      <c r="E11" t="s">
        <v>109</v>
      </c>
      <c r="M11">
        <v>2</v>
      </c>
      <c r="N11">
        <f t="shared" si="1"/>
        <v>2</v>
      </c>
      <c r="O11">
        <f t="shared" si="2"/>
        <v>1</v>
      </c>
    </row>
    <row r="12" spans="1:15" ht="15.75" x14ac:dyDescent="0.25">
      <c r="A12" s="1">
        <v>18187501</v>
      </c>
      <c r="B12" s="17">
        <v>49935.669125200002</v>
      </c>
      <c r="C12" s="16">
        <v>49935.669000000002</v>
      </c>
      <c r="D12" s="3">
        <f t="shared" si="0"/>
        <v>4.9935669000000003</v>
      </c>
      <c r="E12" t="s">
        <v>109</v>
      </c>
      <c r="M12">
        <v>2</v>
      </c>
      <c r="N12">
        <f t="shared" si="1"/>
        <v>2</v>
      </c>
      <c r="O12">
        <f t="shared" si="2"/>
        <v>1</v>
      </c>
    </row>
    <row r="13" spans="1:15" ht="15.75" x14ac:dyDescent="0.25">
      <c r="A13" s="1">
        <v>26077591</v>
      </c>
      <c r="B13" s="17">
        <v>42267.409489500002</v>
      </c>
      <c r="C13" s="16">
        <v>42267.436000000002</v>
      </c>
      <c r="D13" s="3">
        <f t="shared" si="0"/>
        <v>4.2267436000000007</v>
      </c>
      <c r="E13" t="s">
        <v>109</v>
      </c>
      <c r="M13">
        <v>2</v>
      </c>
      <c r="N13">
        <f t="shared" si="1"/>
        <v>2</v>
      </c>
      <c r="O13">
        <f t="shared" si="2"/>
        <v>1</v>
      </c>
    </row>
    <row r="14" spans="1:15" ht="15.75" x14ac:dyDescent="0.25">
      <c r="A14" s="1">
        <v>27365905</v>
      </c>
      <c r="B14" s="17">
        <v>43608.828027800002</v>
      </c>
      <c r="C14" s="16">
        <v>43608.828000000001</v>
      </c>
      <c r="D14" s="3">
        <f t="shared" si="0"/>
        <v>4.3608828000000006</v>
      </c>
      <c r="E14" t="s">
        <v>109</v>
      </c>
      <c r="M14">
        <v>2</v>
      </c>
      <c r="N14">
        <f t="shared" si="1"/>
        <v>2</v>
      </c>
      <c r="O14">
        <f t="shared" si="2"/>
        <v>1</v>
      </c>
    </row>
    <row r="15" spans="1:15" ht="15.75" x14ac:dyDescent="0.25">
      <c r="A15" s="1">
        <v>30965969</v>
      </c>
      <c r="B15" s="17">
        <v>47981.425892300002</v>
      </c>
      <c r="C15" s="16">
        <v>47980.131000000001</v>
      </c>
      <c r="D15" s="3">
        <f t="shared" si="0"/>
        <v>4.7980131000000004</v>
      </c>
      <c r="E15" t="s">
        <v>109</v>
      </c>
      <c r="M15">
        <v>2</v>
      </c>
      <c r="N15">
        <f t="shared" si="1"/>
        <v>2</v>
      </c>
      <c r="O15">
        <f t="shared" si="2"/>
        <v>1</v>
      </c>
    </row>
    <row r="16" spans="1:15" ht="15.75" x14ac:dyDescent="0.25">
      <c r="A16" s="1" t="s">
        <v>34</v>
      </c>
      <c r="B16" s="17">
        <v>22571.2534586</v>
      </c>
      <c r="C16" s="16">
        <v>22571.253000000001</v>
      </c>
      <c r="D16" s="3">
        <f t="shared" si="0"/>
        <v>2.2571253000000002</v>
      </c>
      <c r="E16" t="s">
        <v>49</v>
      </c>
      <c r="M16">
        <v>0.4</v>
      </c>
      <c r="N16">
        <f t="shared" si="1"/>
        <v>5</v>
      </c>
      <c r="O16">
        <f t="shared" si="2"/>
        <v>4</v>
      </c>
    </row>
    <row r="17" spans="1:15" ht="15.75" x14ac:dyDescent="0.25">
      <c r="A17" s="1" t="s">
        <v>54</v>
      </c>
      <c r="B17" s="17">
        <v>30409.409419600001</v>
      </c>
      <c r="C17" s="16">
        <v>30409.409</v>
      </c>
      <c r="D17" s="3">
        <f t="shared" si="0"/>
        <v>3.0409409000000003</v>
      </c>
      <c r="E17" t="s">
        <v>108</v>
      </c>
      <c r="M17">
        <v>1</v>
      </c>
      <c r="N17">
        <f t="shared" si="1"/>
        <v>3</v>
      </c>
      <c r="O17">
        <f t="shared" si="2"/>
        <v>2</v>
      </c>
    </row>
    <row r="18" spans="1:15" ht="15.75" x14ac:dyDescent="0.25">
      <c r="A18" s="1" t="s">
        <v>118</v>
      </c>
      <c r="B18" s="17">
        <v>568111.48643299995</v>
      </c>
      <c r="C18" s="16">
        <v>568110.23300000001</v>
      </c>
      <c r="D18" s="3">
        <f t="shared" si="0"/>
        <v>56.811023299999995</v>
      </c>
      <c r="E18" t="s">
        <v>120</v>
      </c>
      <c r="M18">
        <v>4</v>
      </c>
      <c r="N18">
        <f t="shared" si="1"/>
        <v>14</v>
      </c>
      <c r="O18">
        <f t="shared" si="2"/>
        <v>13</v>
      </c>
    </row>
    <row r="19" spans="1:15" ht="15.75" x14ac:dyDescent="0.25">
      <c r="A19" s="1" t="s">
        <v>40</v>
      </c>
      <c r="B19" s="17">
        <v>8645.0838812000002</v>
      </c>
      <c r="C19" s="16">
        <v>8645.0840000000007</v>
      </c>
      <c r="D19" s="3">
        <f t="shared" si="0"/>
        <v>0.86450840000000007</v>
      </c>
      <c r="E19" t="s">
        <v>49</v>
      </c>
      <c r="M19">
        <v>0.4</v>
      </c>
      <c r="N19">
        <f t="shared" si="1"/>
        <v>2</v>
      </c>
      <c r="O19">
        <f t="shared" si="2"/>
        <v>1</v>
      </c>
    </row>
    <row r="20" spans="1:15" ht="15.75" x14ac:dyDescent="0.25">
      <c r="A20" s="1" t="s">
        <v>114</v>
      </c>
      <c r="B20" s="17">
        <v>151434.170338</v>
      </c>
      <c r="C20" s="16">
        <v>151434.17000000001</v>
      </c>
      <c r="D20" s="3">
        <f t="shared" si="0"/>
        <v>15.143417000000003</v>
      </c>
      <c r="E20" t="s">
        <v>120</v>
      </c>
      <c r="M20">
        <v>4</v>
      </c>
      <c r="N20">
        <f t="shared" si="1"/>
        <v>3</v>
      </c>
      <c r="O20">
        <f t="shared" si="2"/>
        <v>2</v>
      </c>
    </row>
    <row r="21" spans="1:15" ht="15.75" x14ac:dyDescent="0.25">
      <c r="A21" s="1" t="s">
        <v>58</v>
      </c>
      <c r="B21" s="17">
        <v>20212.628135999999</v>
      </c>
      <c r="C21" s="16">
        <v>20212.628000000001</v>
      </c>
      <c r="D21" s="3">
        <f t="shared" si="0"/>
        <v>2.0212628000000001</v>
      </c>
      <c r="E21" t="s">
        <v>108</v>
      </c>
      <c r="M21">
        <v>1</v>
      </c>
      <c r="N21">
        <f t="shared" si="1"/>
        <v>2</v>
      </c>
      <c r="O21">
        <f t="shared" si="2"/>
        <v>1</v>
      </c>
    </row>
    <row r="22" spans="1:15" ht="15.75" x14ac:dyDescent="0.25">
      <c r="A22" s="1" t="s">
        <v>60</v>
      </c>
      <c r="B22" s="17">
        <v>21751.4156582</v>
      </c>
      <c r="C22" s="16">
        <v>21751.416000000001</v>
      </c>
      <c r="D22" s="3">
        <f t="shared" si="0"/>
        <v>2.1751416000000003</v>
      </c>
      <c r="E22" t="s">
        <v>108</v>
      </c>
      <c r="M22">
        <v>1</v>
      </c>
      <c r="N22">
        <f t="shared" si="1"/>
        <v>2</v>
      </c>
      <c r="O22">
        <f t="shared" si="2"/>
        <v>1</v>
      </c>
    </row>
    <row r="23" spans="1:15" ht="15.75" x14ac:dyDescent="0.25">
      <c r="A23" s="1" t="s">
        <v>57</v>
      </c>
      <c r="B23" s="17">
        <v>24759.960109700001</v>
      </c>
      <c r="C23" s="16">
        <v>24759.96</v>
      </c>
      <c r="D23" s="3">
        <f t="shared" si="0"/>
        <v>2.4759960000000003</v>
      </c>
      <c r="E23" t="s">
        <v>108</v>
      </c>
      <c r="M23">
        <v>1</v>
      </c>
      <c r="N23">
        <f t="shared" si="1"/>
        <v>2</v>
      </c>
      <c r="O23">
        <f t="shared" si="2"/>
        <v>1</v>
      </c>
    </row>
    <row r="24" spans="1:15" ht="15.75" x14ac:dyDescent="0.25">
      <c r="A24" s="1" t="s">
        <v>55</v>
      </c>
      <c r="B24" s="17">
        <v>43757.011088300002</v>
      </c>
      <c r="C24" s="16">
        <v>43757.010999999999</v>
      </c>
      <c r="D24" s="3">
        <f t="shared" si="0"/>
        <v>4.3757011000000006</v>
      </c>
      <c r="E24" t="s">
        <v>108</v>
      </c>
      <c r="M24">
        <v>1</v>
      </c>
      <c r="N24">
        <f t="shared" si="1"/>
        <v>4</v>
      </c>
      <c r="O24">
        <f t="shared" si="2"/>
        <v>3</v>
      </c>
    </row>
    <row r="25" spans="1:15" ht="15.75" x14ac:dyDescent="0.25">
      <c r="A25" s="1" t="s">
        <v>105</v>
      </c>
      <c r="B25" s="17">
        <v>21645.566151399998</v>
      </c>
      <c r="C25" s="16">
        <v>21645.565999999999</v>
      </c>
      <c r="D25" s="3">
        <f t="shared" si="0"/>
        <v>2.1645566000000001</v>
      </c>
      <c r="E25" t="s">
        <v>108</v>
      </c>
      <c r="M25">
        <v>1</v>
      </c>
      <c r="N25">
        <f t="shared" si="1"/>
        <v>2</v>
      </c>
      <c r="O25">
        <f t="shared" si="2"/>
        <v>1</v>
      </c>
    </row>
    <row r="26" spans="1:15" ht="15.75" x14ac:dyDescent="0.25">
      <c r="A26" s="1" t="s">
        <v>21</v>
      </c>
      <c r="B26" s="17">
        <v>8247.1324503300002</v>
      </c>
      <c r="C26" s="16">
        <v>8247.5540000000001</v>
      </c>
      <c r="D26" s="3">
        <f t="shared" si="0"/>
        <v>0.82475540000000003</v>
      </c>
      <c r="E26" t="s">
        <v>49</v>
      </c>
      <c r="M26">
        <v>0.4</v>
      </c>
      <c r="N26">
        <f t="shared" si="1"/>
        <v>2</v>
      </c>
      <c r="O26">
        <f t="shared" si="2"/>
        <v>1</v>
      </c>
    </row>
    <row r="27" spans="1:15" ht="15.75" x14ac:dyDescent="0.25">
      <c r="A27" s="1" t="s">
        <v>22</v>
      </c>
      <c r="B27" s="17">
        <v>11846.838222300001</v>
      </c>
      <c r="C27" s="16">
        <v>11846.295</v>
      </c>
      <c r="D27" s="3">
        <f t="shared" si="0"/>
        <v>1.1846295</v>
      </c>
      <c r="E27" t="s">
        <v>49</v>
      </c>
      <c r="M27">
        <v>0.4</v>
      </c>
      <c r="N27">
        <f t="shared" si="1"/>
        <v>2</v>
      </c>
      <c r="O27">
        <f t="shared" si="2"/>
        <v>1</v>
      </c>
    </row>
    <row r="28" spans="1:15" ht="15.75" x14ac:dyDescent="0.25">
      <c r="A28" s="1" t="s">
        <v>3</v>
      </c>
      <c r="B28" s="17">
        <v>13020.745441700001</v>
      </c>
      <c r="C28" s="16">
        <v>13020.745000000001</v>
      </c>
      <c r="D28" s="3">
        <f t="shared" si="0"/>
        <v>1.3020745000000002</v>
      </c>
      <c r="E28" t="s">
        <v>49</v>
      </c>
      <c r="M28">
        <v>0.4</v>
      </c>
      <c r="N28">
        <f t="shared" si="1"/>
        <v>3</v>
      </c>
      <c r="O28">
        <f t="shared" si="2"/>
        <v>2</v>
      </c>
    </row>
    <row r="29" spans="1:15" ht="15.75" x14ac:dyDescent="0.25">
      <c r="A29" s="1" t="s">
        <v>6</v>
      </c>
      <c r="B29" s="17">
        <v>12084.834716900001</v>
      </c>
      <c r="C29" s="16">
        <v>12084.834999999999</v>
      </c>
      <c r="D29" s="3">
        <f t="shared" si="0"/>
        <v>1.2084834999999998</v>
      </c>
      <c r="E29" t="s">
        <v>49</v>
      </c>
      <c r="M29">
        <v>0.4</v>
      </c>
      <c r="N29">
        <f t="shared" si="1"/>
        <v>3</v>
      </c>
      <c r="O29">
        <f t="shared" si="2"/>
        <v>2</v>
      </c>
    </row>
    <row r="30" spans="1:15" ht="15.75" x14ac:dyDescent="0.25">
      <c r="A30" s="1" t="s">
        <v>41</v>
      </c>
      <c r="B30" s="17">
        <v>9971.6685714399991</v>
      </c>
      <c r="C30" s="16">
        <v>9971.8349999999991</v>
      </c>
      <c r="D30" s="3">
        <f t="shared" si="0"/>
        <v>0.9971835</v>
      </c>
      <c r="E30" t="s">
        <v>49</v>
      </c>
      <c r="M30">
        <v>0.4</v>
      </c>
      <c r="N30">
        <f t="shared" si="1"/>
        <v>2</v>
      </c>
      <c r="O30">
        <f t="shared" si="2"/>
        <v>1</v>
      </c>
    </row>
    <row r="31" spans="1:15" ht="15.75" x14ac:dyDescent="0.25">
      <c r="A31" s="1" t="s">
        <v>104</v>
      </c>
      <c r="B31" s="17">
        <v>54195.647620600001</v>
      </c>
      <c r="C31" s="16">
        <v>54196.088000000003</v>
      </c>
      <c r="D31" s="3">
        <f t="shared" si="0"/>
        <v>5.4196087999999998</v>
      </c>
      <c r="E31" t="s">
        <v>108</v>
      </c>
      <c r="M31">
        <v>1</v>
      </c>
      <c r="N31">
        <f t="shared" si="1"/>
        <v>5</v>
      </c>
      <c r="O31">
        <f t="shared" si="2"/>
        <v>4</v>
      </c>
    </row>
    <row r="32" spans="1:15" ht="15.75" x14ac:dyDescent="0.25">
      <c r="A32" s="1" t="s">
        <v>56</v>
      </c>
      <c r="B32" s="17">
        <v>104033.045161</v>
      </c>
      <c r="C32" s="16">
        <v>104033.045</v>
      </c>
      <c r="D32" s="3">
        <f t="shared" si="0"/>
        <v>10.403304500000001</v>
      </c>
      <c r="E32" t="s">
        <v>108</v>
      </c>
      <c r="M32">
        <v>1</v>
      </c>
      <c r="N32">
        <f t="shared" si="1"/>
        <v>10</v>
      </c>
      <c r="O32">
        <f t="shared" si="2"/>
        <v>9</v>
      </c>
    </row>
    <row r="33" spans="1:15" ht="15.75" x14ac:dyDescent="0.25">
      <c r="A33" s="1" t="s">
        <v>7</v>
      </c>
      <c r="B33" s="17">
        <v>40310.867324300001</v>
      </c>
      <c r="C33" s="16">
        <v>40310.866999999998</v>
      </c>
      <c r="D33" s="3">
        <f t="shared" si="0"/>
        <v>4.0310867000000004</v>
      </c>
      <c r="E33" t="s">
        <v>49</v>
      </c>
      <c r="M33">
        <v>0.4</v>
      </c>
      <c r="N33">
        <f t="shared" si="1"/>
        <v>10</v>
      </c>
      <c r="O33">
        <f t="shared" si="2"/>
        <v>9</v>
      </c>
    </row>
    <row r="34" spans="1:15" ht="15.75" x14ac:dyDescent="0.25">
      <c r="A34" s="1" t="s">
        <v>89</v>
      </c>
      <c r="B34" s="17">
        <v>23599.302635100001</v>
      </c>
      <c r="C34" s="16">
        <v>23599.303</v>
      </c>
      <c r="D34" s="3">
        <f t="shared" ref="D34:D65" si="3">CONVERT(C34,"m^2","ha")</f>
        <v>2.3599302999999998</v>
      </c>
      <c r="E34" t="s">
        <v>108</v>
      </c>
      <c r="M34">
        <v>1</v>
      </c>
      <c r="N34">
        <f t="shared" ref="N34:N65" si="4">ROUNDDOWN(D34/M34,0)</f>
        <v>2</v>
      </c>
      <c r="O34">
        <f t="shared" ref="O34:O65" si="5">N34-1</f>
        <v>1</v>
      </c>
    </row>
    <row r="35" spans="1:15" ht="15.75" x14ac:dyDescent="0.25">
      <c r="A35" s="1" t="s">
        <v>99</v>
      </c>
      <c r="B35" s="17">
        <v>35640.839170200001</v>
      </c>
      <c r="C35" s="16">
        <v>35640.04</v>
      </c>
      <c r="D35" s="3">
        <f t="shared" si="3"/>
        <v>3.5640040000000002</v>
      </c>
      <c r="E35" t="s">
        <v>108</v>
      </c>
      <c r="M35">
        <v>1</v>
      </c>
      <c r="N35">
        <f t="shared" si="4"/>
        <v>3</v>
      </c>
      <c r="O35">
        <f t="shared" si="5"/>
        <v>2</v>
      </c>
    </row>
    <row r="36" spans="1:15" ht="15.75" x14ac:dyDescent="0.25">
      <c r="A36" s="1" t="s">
        <v>37</v>
      </c>
      <c r="B36" s="17">
        <v>10572.524397699999</v>
      </c>
      <c r="C36" s="16">
        <v>10572.523999999999</v>
      </c>
      <c r="D36" s="3">
        <f t="shared" si="3"/>
        <v>1.0572523999999999</v>
      </c>
      <c r="E36" t="s">
        <v>49</v>
      </c>
      <c r="M36">
        <v>0.4</v>
      </c>
      <c r="N36">
        <f t="shared" si="4"/>
        <v>2</v>
      </c>
      <c r="O36">
        <f t="shared" si="5"/>
        <v>1</v>
      </c>
    </row>
    <row r="37" spans="1:15" ht="15.75" x14ac:dyDescent="0.25">
      <c r="A37" s="1" t="s">
        <v>26</v>
      </c>
      <c r="B37" s="17">
        <v>13065.773227899999</v>
      </c>
      <c r="C37" s="16">
        <v>13056.4</v>
      </c>
      <c r="D37" s="3">
        <f t="shared" si="3"/>
        <v>1.3056399999999999</v>
      </c>
      <c r="E37" t="s">
        <v>49</v>
      </c>
      <c r="M37">
        <v>0.4</v>
      </c>
      <c r="N37">
        <f t="shared" si="4"/>
        <v>3</v>
      </c>
      <c r="O37">
        <f t="shared" si="5"/>
        <v>2</v>
      </c>
    </row>
    <row r="38" spans="1:15" ht="15.75" x14ac:dyDescent="0.25">
      <c r="A38" s="1" t="s">
        <v>72</v>
      </c>
      <c r="B38" s="17">
        <v>53638.440214000002</v>
      </c>
      <c r="C38" s="16">
        <v>53638.44</v>
      </c>
      <c r="D38" s="3">
        <f t="shared" si="3"/>
        <v>5.3638440000000003</v>
      </c>
      <c r="E38" t="s">
        <v>108</v>
      </c>
      <c r="M38">
        <v>1</v>
      </c>
      <c r="N38">
        <f t="shared" si="4"/>
        <v>5</v>
      </c>
      <c r="O38">
        <f t="shared" si="5"/>
        <v>4</v>
      </c>
    </row>
    <row r="39" spans="1:15" ht="15.75" x14ac:dyDescent="0.25">
      <c r="A39" s="1" t="s">
        <v>65</v>
      </c>
      <c r="B39" s="17">
        <v>86844.521177200004</v>
      </c>
      <c r="C39" s="16">
        <v>86844.665999999997</v>
      </c>
      <c r="D39" s="3">
        <f t="shared" si="3"/>
        <v>8.6844666000000004</v>
      </c>
      <c r="E39" t="s">
        <v>108</v>
      </c>
      <c r="M39">
        <v>1</v>
      </c>
      <c r="N39">
        <f t="shared" si="4"/>
        <v>8</v>
      </c>
      <c r="O39">
        <f t="shared" si="5"/>
        <v>7</v>
      </c>
    </row>
    <row r="40" spans="1:15" ht="15.75" x14ac:dyDescent="0.25">
      <c r="A40" s="1" t="s">
        <v>102</v>
      </c>
      <c r="B40" s="17">
        <v>80427.185008900007</v>
      </c>
      <c r="C40" s="16">
        <v>80427.184999999998</v>
      </c>
      <c r="D40" s="3">
        <f t="shared" si="3"/>
        <v>8.0427184999999994</v>
      </c>
      <c r="E40" t="s">
        <v>108</v>
      </c>
      <c r="M40">
        <v>1</v>
      </c>
      <c r="N40">
        <f t="shared" si="4"/>
        <v>8</v>
      </c>
      <c r="O40">
        <f t="shared" si="5"/>
        <v>7</v>
      </c>
    </row>
    <row r="41" spans="1:15" ht="15.75" x14ac:dyDescent="0.25">
      <c r="A41" s="1" t="s">
        <v>15</v>
      </c>
      <c r="B41" s="17">
        <v>9716.4997987499992</v>
      </c>
      <c r="C41" s="16">
        <v>9716.5</v>
      </c>
      <c r="D41" s="3">
        <f t="shared" si="3"/>
        <v>0.97165000000000012</v>
      </c>
      <c r="E41" t="s">
        <v>49</v>
      </c>
      <c r="M41">
        <v>0.4</v>
      </c>
      <c r="N41">
        <f t="shared" si="4"/>
        <v>2</v>
      </c>
      <c r="O41">
        <f t="shared" si="5"/>
        <v>1</v>
      </c>
    </row>
    <row r="42" spans="1:15" ht="15.75" x14ac:dyDescent="0.25">
      <c r="A42" s="1" t="s">
        <v>20</v>
      </c>
      <c r="B42" s="17">
        <v>11493.3699244</v>
      </c>
      <c r="C42" s="16">
        <v>11492.353999999999</v>
      </c>
      <c r="D42" s="3">
        <f t="shared" si="3"/>
        <v>1.1492354</v>
      </c>
      <c r="E42" t="s">
        <v>49</v>
      </c>
      <c r="M42">
        <v>0.4</v>
      </c>
      <c r="N42">
        <f t="shared" si="4"/>
        <v>2</v>
      </c>
      <c r="O42">
        <f t="shared" si="5"/>
        <v>1</v>
      </c>
    </row>
    <row r="43" spans="1:15" ht="15.75" x14ac:dyDescent="0.25">
      <c r="A43" s="1" t="s">
        <v>46</v>
      </c>
      <c r="B43" s="17">
        <v>22061.121054800002</v>
      </c>
      <c r="C43" s="16">
        <v>22061.782999999999</v>
      </c>
      <c r="D43" s="3">
        <f t="shared" si="3"/>
        <v>2.2061782999999999</v>
      </c>
      <c r="E43" t="s">
        <v>49</v>
      </c>
      <c r="M43">
        <v>0.4</v>
      </c>
      <c r="N43">
        <f t="shared" si="4"/>
        <v>5</v>
      </c>
      <c r="O43">
        <f t="shared" si="5"/>
        <v>4</v>
      </c>
    </row>
    <row r="44" spans="1:15" ht="15.75" x14ac:dyDescent="0.25">
      <c r="A44" s="1" t="s">
        <v>77</v>
      </c>
      <c r="B44" s="17">
        <v>33827.992503699999</v>
      </c>
      <c r="C44" s="16">
        <v>33827.993000000002</v>
      </c>
      <c r="D44" s="3">
        <f t="shared" si="3"/>
        <v>3.3827993000000003</v>
      </c>
      <c r="E44" t="s">
        <v>108</v>
      </c>
      <c r="M44">
        <v>1</v>
      </c>
      <c r="N44">
        <f t="shared" si="4"/>
        <v>3</v>
      </c>
      <c r="O44">
        <f t="shared" si="5"/>
        <v>2</v>
      </c>
    </row>
    <row r="45" spans="1:15" ht="15.75" x14ac:dyDescent="0.25">
      <c r="A45" s="1" t="s">
        <v>14</v>
      </c>
      <c r="B45" s="17">
        <v>48715.571207499997</v>
      </c>
      <c r="C45" s="16">
        <v>48716.476999999999</v>
      </c>
      <c r="D45" s="3">
        <f t="shared" si="3"/>
        <v>4.8716476999999996</v>
      </c>
      <c r="E45" t="s">
        <v>49</v>
      </c>
      <c r="M45">
        <v>0.4</v>
      </c>
      <c r="N45">
        <f t="shared" si="4"/>
        <v>12</v>
      </c>
      <c r="O45">
        <f t="shared" si="5"/>
        <v>11</v>
      </c>
    </row>
    <row r="46" spans="1:15" ht="15.75" x14ac:dyDescent="0.25">
      <c r="A46" s="1" t="s">
        <v>43</v>
      </c>
      <c r="B46" s="17">
        <v>25846.158013</v>
      </c>
      <c r="C46" s="16">
        <v>25846.157999999999</v>
      </c>
      <c r="D46" s="3">
        <f t="shared" si="3"/>
        <v>2.5846157999999999</v>
      </c>
      <c r="E46" t="s">
        <v>49</v>
      </c>
      <c r="M46">
        <v>0.4</v>
      </c>
      <c r="N46">
        <f t="shared" si="4"/>
        <v>6</v>
      </c>
      <c r="O46">
        <f t="shared" si="5"/>
        <v>5</v>
      </c>
    </row>
    <row r="47" spans="1:15" ht="15.75" x14ac:dyDescent="0.25">
      <c r="A47" s="1" t="s">
        <v>79</v>
      </c>
      <c r="B47" s="17">
        <v>121801.795914</v>
      </c>
      <c r="C47" s="16">
        <v>121805.476</v>
      </c>
      <c r="D47" s="3">
        <f t="shared" si="3"/>
        <v>12.180547600000001</v>
      </c>
      <c r="E47" t="s">
        <v>108</v>
      </c>
      <c r="M47">
        <v>1</v>
      </c>
      <c r="N47">
        <f t="shared" si="4"/>
        <v>12</v>
      </c>
      <c r="O47">
        <f t="shared" si="5"/>
        <v>11</v>
      </c>
    </row>
    <row r="48" spans="1:15" ht="15.75" x14ac:dyDescent="0.25">
      <c r="A48" s="1" t="s">
        <v>91</v>
      </c>
      <c r="B48" s="17">
        <v>39731.041915599999</v>
      </c>
      <c r="C48" s="16">
        <v>39731.042000000001</v>
      </c>
      <c r="D48" s="3">
        <f t="shared" si="3"/>
        <v>3.9731041999999999</v>
      </c>
      <c r="E48" t="s">
        <v>108</v>
      </c>
      <c r="M48">
        <v>1</v>
      </c>
      <c r="N48">
        <f t="shared" si="4"/>
        <v>3</v>
      </c>
      <c r="O48">
        <f t="shared" si="5"/>
        <v>2</v>
      </c>
    </row>
    <row r="49" spans="1:15" ht="15.75" x14ac:dyDescent="0.25">
      <c r="A49" s="1" t="s">
        <v>35</v>
      </c>
      <c r="B49" s="17">
        <v>21407.368835000001</v>
      </c>
      <c r="C49" s="16">
        <v>21407.368999999999</v>
      </c>
      <c r="D49" s="3">
        <f t="shared" si="3"/>
        <v>2.1407368999999998</v>
      </c>
      <c r="E49" t="s">
        <v>49</v>
      </c>
      <c r="M49">
        <v>0.4</v>
      </c>
      <c r="N49">
        <f t="shared" si="4"/>
        <v>5</v>
      </c>
      <c r="O49">
        <f t="shared" si="5"/>
        <v>4</v>
      </c>
    </row>
    <row r="50" spans="1:15" ht="15.75" x14ac:dyDescent="0.25">
      <c r="A50" s="1" t="s">
        <v>33</v>
      </c>
      <c r="B50" s="17">
        <v>21740.5611766</v>
      </c>
      <c r="C50" s="16">
        <v>21740.561000000002</v>
      </c>
      <c r="D50" s="3">
        <f t="shared" si="3"/>
        <v>2.1740561</v>
      </c>
      <c r="E50" t="s">
        <v>49</v>
      </c>
      <c r="M50">
        <v>0.4</v>
      </c>
      <c r="N50">
        <f t="shared" si="4"/>
        <v>5</v>
      </c>
      <c r="O50">
        <f t="shared" si="5"/>
        <v>4</v>
      </c>
    </row>
    <row r="51" spans="1:15" ht="15.75" x14ac:dyDescent="0.25">
      <c r="A51" s="1" t="s">
        <v>113</v>
      </c>
      <c r="B51" s="17">
        <v>133978.97364700001</v>
      </c>
      <c r="C51" s="16">
        <v>133978.97399999999</v>
      </c>
      <c r="D51" s="3">
        <f t="shared" si="3"/>
        <v>13.397897399999998</v>
      </c>
      <c r="E51" t="s">
        <v>120</v>
      </c>
      <c r="M51">
        <v>4</v>
      </c>
      <c r="N51">
        <f t="shared" si="4"/>
        <v>3</v>
      </c>
      <c r="O51">
        <f t="shared" si="5"/>
        <v>2</v>
      </c>
    </row>
    <row r="52" spans="1:15" ht="15.75" x14ac:dyDescent="0.25">
      <c r="A52" s="1" t="s">
        <v>90</v>
      </c>
      <c r="B52" s="17">
        <v>377944.95998699998</v>
      </c>
      <c r="C52" s="16">
        <v>377944.96</v>
      </c>
      <c r="D52" s="3">
        <f t="shared" si="3"/>
        <v>37.794496000000002</v>
      </c>
      <c r="E52" t="s">
        <v>108</v>
      </c>
      <c r="M52">
        <v>1</v>
      </c>
      <c r="N52">
        <f t="shared" si="4"/>
        <v>37</v>
      </c>
      <c r="O52">
        <f t="shared" si="5"/>
        <v>36</v>
      </c>
    </row>
    <row r="53" spans="1:15" ht="15.75" x14ac:dyDescent="0.25">
      <c r="A53" s="1" t="s">
        <v>17</v>
      </c>
      <c r="B53" s="17">
        <v>23743.0427805</v>
      </c>
      <c r="C53" s="16">
        <v>23743.043000000001</v>
      </c>
      <c r="D53" s="3">
        <f t="shared" si="3"/>
        <v>2.3743042999999999</v>
      </c>
      <c r="E53" t="s">
        <v>49</v>
      </c>
      <c r="M53">
        <v>0.4</v>
      </c>
      <c r="N53">
        <f t="shared" si="4"/>
        <v>5</v>
      </c>
      <c r="O53">
        <f t="shared" si="5"/>
        <v>4</v>
      </c>
    </row>
    <row r="54" spans="1:15" ht="15.75" x14ac:dyDescent="0.25">
      <c r="A54" s="1" t="s">
        <v>111</v>
      </c>
      <c r="B54" s="17">
        <v>81209.646764100005</v>
      </c>
      <c r="C54" s="16">
        <v>81209.48</v>
      </c>
      <c r="D54" s="3">
        <f t="shared" si="3"/>
        <v>8.1209480000000003</v>
      </c>
      <c r="E54" t="s">
        <v>120</v>
      </c>
      <c r="M54">
        <v>4</v>
      </c>
      <c r="N54">
        <f t="shared" si="4"/>
        <v>2</v>
      </c>
      <c r="O54">
        <f t="shared" si="5"/>
        <v>1</v>
      </c>
    </row>
    <row r="55" spans="1:15" ht="15.75" x14ac:dyDescent="0.25">
      <c r="A55" s="1" t="s">
        <v>47</v>
      </c>
      <c r="B55" s="17">
        <v>114189.733527</v>
      </c>
      <c r="C55" s="16">
        <v>114189.734</v>
      </c>
      <c r="D55" s="3">
        <f t="shared" si="3"/>
        <v>11.4189734</v>
      </c>
      <c r="E55" t="s">
        <v>49</v>
      </c>
      <c r="M55">
        <v>0.4</v>
      </c>
      <c r="N55">
        <f t="shared" si="4"/>
        <v>28</v>
      </c>
      <c r="O55">
        <f t="shared" si="5"/>
        <v>27</v>
      </c>
    </row>
    <row r="56" spans="1:15" ht="15.75" x14ac:dyDescent="0.25">
      <c r="A56" s="1" t="s">
        <v>88</v>
      </c>
      <c r="B56" s="17">
        <v>163055.56689799999</v>
      </c>
      <c r="C56" s="16">
        <v>163055.56700000001</v>
      </c>
      <c r="D56" s="3">
        <f t="shared" si="3"/>
        <v>16.3055567</v>
      </c>
      <c r="E56" t="s">
        <v>108</v>
      </c>
      <c r="M56">
        <v>1</v>
      </c>
      <c r="N56">
        <f t="shared" si="4"/>
        <v>16</v>
      </c>
      <c r="O56">
        <f t="shared" si="5"/>
        <v>15</v>
      </c>
    </row>
    <row r="57" spans="1:15" ht="15.75" x14ac:dyDescent="0.25">
      <c r="A57" s="1" t="s">
        <v>59</v>
      </c>
      <c r="B57" s="17">
        <v>20208.999806399999</v>
      </c>
      <c r="C57" s="16">
        <v>20209</v>
      </c>
      <c r="D57" s="3">
        <f t="shared" si="3"/>
        <v>2.0209000000000001</v>
      </c>
      <c r="E57" t="s">
        <v>108</v>
      </c>
      <c r="M57">
        <v>1</v>
      </c>
      <c r="N57">
        <f t="shared" si="4"/>
        <v>2</v>
      </c>
      <c r="O57">
        <f t="shared" si="5"/>
        <v>1</v>
      </c>
    </row>
    <row r="58" spans="1:15" ht="15.75" x14ac:dyDescent="0.25">
      <c r="A58" s="1" t="s">
        <v>31</v>
      </c>
      <c r="B58" s="17">
        <v>11302.218320399999</v>
      </c>
      <c r="C58" s="16">
        <v>11301.545</v>
      </c>
      <c r="D58" s="3">
        <f t="shared" si="3"/>
        <v>1.1301545000000002</v>
      </c>
      <c r="E58" t="s">
        <v>49</v>
      </c>
      <c r="M58">
        <v>0.4</v>
      </c>
      <c r="N58">
        <f t="shared" si="4"/>
        <v>2</v>
      </c>
      <c r="O58">
        <f t="shared" si="5"/>
        <v>1</v>
      </c>
    </row>
    <row r="59" spans="1:15" ht="15.75" x14ac:dyDescent="0.25">
      <c r="A59" s="1" t="s">
        <v>32</v>
      </c>
      <c r="B59" s="17">
        <v>9098.3388233900005</v>
      </c>
      <c r="C59" s="16">
        <v>9097.7810000000009</v>
      </c>
      <c r="D59" s="3">
        <f t="shared" si="3"/>
        <v>0.90977810000000015</v>
      </c>
      <c r="E59" t="s">
        <v>49</v>
      </c>
      <c r="M59">
        <v>0.4</v>
      </c>
      <c r="N59">
        <f t="shared" si="4"/>
        <v>2</v>
      </c>
      <c r="O59">
        <f t="shared" si="5"/>
        <v>1</v>
      </c>
    </row>
    <row r="60" spans="1:15" ht="15.75" x14ac:dyDescent="0.25">
      <c r="A60" s="1" t="s">
        <v>107</v>
      </c>
      <c r="B60" s="17">
        <v>40023.503193099998</v>
      </c>
      <c r="C60" s="16">
        <v>40023.502999999997</v>
      </c>
      <c r="D60" s="3">
        <f t="shared" si="3"/>
        <v>4.0023502999999998</v>
      </c>
      <c r="E60" t="s">
        <v>108</v>
      </c>
      <c r="M60">
        <v>1</v>
      </c>
      <c r="N60">
        <f t="shared" si="4"/>
        <v>4</v>
      </c>
      <c r="O60">
        <f t="shared" si="5"/>
        <v>3</v>
      </c>
    </row>
    <row r="61" spans="1:15" ht="15.75" x14ac:dyDescent="0.25">
      <c r="A61" s="1" t="s">
        <v>115</v>
      </c>
      <c r="B61" s="17">
        <v>280774.549474</v>
      </c>
      <c r="C61" s="16">
        <v>280774.549</v>
      </c>
      <c r="D61" s="3">
        <f t="shared" si="3"/>
        <v>28.077454900000003</v>
      </c>
      <c r="E61" t="s">
        <v>120</v>
      </c>
      <c r="M61">
        <v>4</v>
      </c>
      <c r="N61">
        <f t="shared" si="4"/>
        <v>7</v>
      </c>
      <c r="O61">
        <f t="shared" si="5"/>
        <v>6</v>
      </c>
    </row>
    <row r="62" spans="1:15" ht="15.75" x14ac:dyDescent="0.25">
      <c r="A62" s="1" t="s">
        <v>73</v>
      </c>
      <c r="B62" s="17">
        <v>61321.297037600001</v>
      </c>
      <c r="C62" s="16">
        <v>61321.296999999999</v>
      </c>
      <c r="D62" s="3">
        <f t="shared" si="3"/>
        <v>6.1321297000000001</v>
      </c>
      <c r="E62" t="s">
        <v>108</v>
      </c>
      <c r="M62">
        <v>1</v>
      </c>
      <c r="N62">
        <f t="shared" si="4"/>
        <v>6</v>
      </c>
      <c r="O62">
        <f t="shared" si="5"/>
        <v>5</v>
      </c>
    </row>
    <row r="63" spans="1:15" ht="15.75" x14ac:dyDescent="0.25">
      <c r="A63" s="1" t="s">
        <v>103</v>
      </c>
      <c r="B63" s="17">
        <v>100547.228634</v>
      </c>
      <c r="C63" s="16">
        <v>100547.22900000001</v>
      </c>
      <c r="D63" s="3">
        <f t="shared" si="3"/>
        <v>10.054722900000002</v>
      </c>
      <c r="E63" t="s">
        <v>108</v>
      </c>
      <c r="M63">
        <v>1</v>
      </c>
      <c r="N63">
        <f t="shared" si="4"/>
        <v>10</v>
      </c>
      <c r="O63">
        <f t="shared" si="5"/>
        <v>9</v>
      </c>
    </row>
    <row r="64" spans="1:15" ht="15.75" x14ac:dyDescent="0.25">
      <c r="A64" s="1">
        <v>15891763</v>
      </c>
      <c r="B64" s="17">
        <v>191451.69328800001</v>
      </c>
      <c r="C64" s="16">
        <v>191452.299</v>
      </c>
      <c r="D64" s="3">
        <f t="shared" si="3"/>
        <v>19.1452299</v>
      </c>
      <c r="E64" t="s">
        <v>49</v>
      </c>
      <c r="M64">
        <v>0.4</v>
      </c>
      <c r="N64">
        <f t="shared" si="4"/>
        <v>47</v>
      </c>
      <c r="O64">
        <f t="shared" si="5"/>
        <v>46</v>
      </c>
    </row>
    <row r="65" spans="1:15" ht="15.75" x14ac:dyDescent="0.25">
      <c r="A65" s="1" t="s">
        <v>68</v>
      </c>
      <c r="B65" s="17">
        <v>334848.88518799999</v>
      </c>
      <c r="C65" s="16">
        <v>334848.88500000001</v>
      </c>
      <c r="D65" s="3">
        <f t="shared" si="3"/>
        <v>33.484888499999997</v>
      </c>
      <c r="E65" t="s">
        <v>108</v>
      </c>
      <c r="M65">
        <v>1</v>
      </c>
      <c r="N65">
        <f t="shared" si="4"/>
        <v>33</v>
      </c>
      <c r="O65">
        <f t="shared" si="5"/>
        <v>32</v>
      </c>
    </row>
    <row r="66" spans="1:15" ht="15.75" x14ac:dyDescent="0.25">
      <c r="A66" s="1" t="s">
        <v>119</v>
      </c>
      <c r="B66" s="17">
        <v>95296.345342300003</v>
      </c>
      <c r="C66" s="16">
        <v>95296.010999999999</v>
      </c>
      <c r="D66" s="3">
        <f t="shared" ref="D66:D97" si="6">CONVERT(C66,"m^2","ha")</f>
        <v>9.5296011000000007</v>
      </c>
      <c r="E66" t="s">
        <v>120</v>
      </c>
      <c r="M66">
        <v>4</v>
      </c>
      <c r="N66">
        <f t="shared" ref="N66:N97" si="7">ROUNDDOWN(D66/M66,0)</f>
        <v>2</v>
      </c>
      <c r="O66">
        <f t="shared" ref="O66:O97" si="8">N66-1</f>
        <v>1</v>
      </c>
    </row>
    <row r="67" spans="1:15" ht="15.75" x14ac:dyDescent="0.25">
      <c r="A67" s="1" t="s">
        <v>100</v>
      </c>
      <c r="B67" s="17">
        <v>51229.310559899997</v>
      </c>
      <c r="C67" s="16">
        <v>51227.978999999999</v>
      </c>
      <c r="D67" s="3">
        <f t="shared" si="6"/>
        <v>5.1227979000000001</v>
      </c>
      <c r="E67" t="s">
        <v>108</v>
      </c>
      <c r="M67">
        <v>1</v>
      </c>
      <c r="N67">
        <f t="shared" si="7"/>
        <v>5</v>
      </c>
      <c r="O67">
        <f t="shared" si="8"/>
        <v>4</v>
      </c>
    </row>
    <row r="68" spans="1:15" ht="15.75" x14ac:dyDescent="0.25">
      <c r="A68" s="1" t="s">
        <v>78</v>
      </c>
      <c r="B68" s="17">
        <v>60724.538710300003</v>
      </c>
      <c r="C68" s="16">
        <v>60724.538999999997</v>
      </c>
      <c r="D68" s="3">
        <f t="shared" si="6"/>
        <v>6.0724538999999993</v>
      </c>
      <c r="E68" t="s">
        <v>108</v>
      </c>
      <c r="M68">
        <v>1</v>
      </c>
      <c r="N68">
        <f t="shared" si="7"/>
        <v>6</v>
      </c>
      <c r="O68">
        <f t="shared" si="8"/>
        <v>5</v>
      </c>
    </row>
    <row r="69" spans="1:15" ht="15.75" x14ac:dyDescent="0.25">
      <c r="A69" s="1" t="s">
        <v>39</v>
      </c>
      <c r="B69" s="17">
        <v>24283.595828500002</v>
      </c>
      <c r="C69" s="16">
        <v>24283.596000000001</v>
      </c>
      <c r="D69" s="3">
        <f t="shared" si="6"/>
        <v>2.4283595999999998</v>
      </c>
      <c r="E69" t="s">
        <v>49</v>
      </c>
      <c r="M69">
        <v>0.4</v>
      </c>
      <c r="N69">
        <f t="shared" si="7"/>
        <v>6</v>
      </c>
      <c r="O69">
        <f t="shared" si="8"/>
        <v>5</v>
      </c>
    </row>
    <row r="70" spans="1:15" ht="15.75" x14ac:dyDescent="0.25">
      <c r="A70" s="1" t="s">
        <v>96</v>
      </c>
      <c r="B70" s="17">
        <v>40036.294832599997</v>
      </c>
      <c r="C70" s="16">
        <v>40036.294999999998</v>
      </c>
      <c r="D70" s="3">
        <f t="shared" si="6"/>
        <v>4.0036294999999997</v>
      </c>
      <c r="E70" t="s">
        <v>108</v>
      </c>
      <c r="M70">
        <v>1</v>
      </c>
      <c r="N70">
        <f t="shared" si="7"/>
        <v>4</v>
      </c>
      <c r="O70">
        <f t="shared" si="8"/>
        <v>3</v>
      </c>
    </row>
    <row r="71" spans="1:15" ht="15.75" x14ac:dyDescent="0.25">
      <c r="A71" s="1" t="s">
        <v>94</v>
      </c>
      <c r="B71" s="17">
        <v>53661.431187599999</v>
      </c>
      <c r="C71" s="16">
        <v>53662.353999999999</v>
      </c>
      <c r="D71" s="3">
        <f t="shared" si="6"/>
        <v>5.3662353999999999</v>
      </c>
      <c r="E71" t="s">
        <v>108</v>
      </c>
      <c r="M71">
        <v>1</v>
      </c>
      <c r="N71">
        <f t="shared" si="7"/>
        <v>5</v>
      </c>
      <c r="O71">
        <f t="shared" si="8"/>
        <v>4</v>
      </c>
    </row>
    <row r="72" spans="1:15" ht="15.75" x14ac:dyDescent="0.25">
      <c r="A72" s="1" t="s">
        <v>95</v>
      </c>
      <c r="B72" s="17">
        <v>27098.094308399999</v>
      </c>
      <c r="C72" s="16">
        <v>27097.85</v>
      </c>
      <c r="D72" s="3">
        <f t="shared" si="6"/>
        <v>2.7097850000000001</v>
      </c>
      <c r="E72" t="s">
        <v>108</v>
      </c>
      <c r="M72">
        <v>1</v>
      </c>
      <c r="N72">
        <f t="shared" si="7"/>
        <v>2</v>
      </c>
      <c r="O72">
        <f t="shared" si="8"/>
        <v>1</v>
      </c>
    </row>
    <row r="73" spans="1:15" ht="15.75" x14ac:dyDescent="0.25">
      <c r="A73" s="1" t="s">
        <v>38</v>
      </c>
      <c r="B73" s="17">
        <v>18137.3294451</v>
      </c>
      <c r="C73" s="16">
        <v>18137.541000000001</v>
      </c>
      <c r="D73" s="3">
        <f t="shared" si="6"/>
        <v>1.8137541000000001</v>
      </c>
      <c r="E73" t="s">
        <v>49</v>
      </c>
      <c r="M73">
        <v>0.4</v>
      </c>
      <c r="N73">
        <f t="shared" si="7"/>
        <v>4</v>
      </c>
      <c r="O73">
        <f t="shared" si="8"/>
        <v>3</v>
      </c>
    </row>
    <row r="74" spans="1:15" ht="15.75" x14ac:dyDescent="0.25">
      <c r="A74" s="1" t="s">
        <v>110</v>
      </c>
      <c r="B74" s="17">
        <v>92889.147446899995</v>
      </c>
      <c r="C74" s="16">
        <v>92889.089000000007</v>
      </c>
      <c r="D74" s="3">
        <f t="shared" si="6"/>
        <v>9.2889089000000009</v>
      </c>
      <c r="E74" t="s">
        <v>120</v>
      </c>
      <c r="M74">
        <v>4</v>
      </c>
      <c r="N74">
        <f t="shared" si="7"/>
        <v>2</v>
      </c>
      <c r="O74">
        <f t="shared" si="8"/>
        <v>1</v>
      </c>
    </row>
    <row r="75" spans="1:15" ht="15.75" x14ac:dyDescent="0.25">
      <c r="A75" s="1" t="s">
        <v>27</v>
      </c>
      <c r="B75" s="17">
        <v>9378.2436607100008</v>
      </c>
      <c r="C75" s="16">
        <v>9378.2440000000006</v>
      </c>
      <c r="D75" s="3">
        <f t="shared" si="6"/>
        <v>0.9378244</v>
      </c>
      <c r="E75" t="s">
        <v>49</v>
      </c>
      <c r="M75">
        <v>0.4</v>
      </c>
      <c r="N75">
        <f t="shared" si="7"/>
        <v>2</v>
      </c>
      <c r="O75">
        <f t="shared" si="8"/>
        <v>1</v>
      </c>
    </row>
    <row r="76" spans="1:15" ht="15.75" x14ac:dyDescent="0.25">
      <c r="A76" s="1" t="s">
        <v>28</v>
      </c>
      <c r="B76" s="17">
        <v>11843.417150900001</v>
      </c>
      <c r="C76" s="16">
        <v>11843.416999999999</v>
      </c>
      <c r="D76" s="3">
        <f t="shared" si="6"/>
        <v>1.1843417000000001</v>
      </c>
      <c r="E76" t="s">
        <v>49</v>
      </c>
      <c r="M76">
        <v>0.4</v>
      </c>
      <c r="N76">
        <f t="shared" si="7"/>
        <v>2</v>
      </c>
      <c r="O76">
        <f t="shared" si="8"/>
        <v>1</v>
      </c>
    </row>
    <row r="77" spans="1:15" ht="15.75" x14ac:dyDescent="0.25">
      <c r="A77" s="1" t="s">
        <v>101</v>
      </c>
      <c r="B77" s="17">
        <v>20474.3558247</v>
      </c>
      <c r="C77" s="16">
        <v>20474.356</v>
      </c>
      <c r="D77" s="3">
        <f t="shared" si="6"/>
        <v>2.0474356</v>
      </c>
      <c r="E77" t="s">
        <v>108</v>
      </c>
      <c r="M77">
        <v>1</v>
      </c>
      <c r="N77">
        <f t="shared" si="7"/>
        <v>2</v>
      </c>
      <c r="O77">
        <f t="shared" si="8"/>
        <v>1</v>
      </c>
    </row>
    <row r="78" spans="1:15" ht="15.75" x14ac:dyDescent="0.25">
      <c r="A78" s="1" t="s">
        <v>36</v>
      </c>
      <c r="B78" s="17">
        <v>9331.3538780800009</v>
      </c>
      <c r="C78" s="16">
        <v>9330.2950000000001</v>
      </c>
      <c r="D78" s="3">
        <f t="shared" si="6"/>
        <v>0.93302950000000007</v>
      </c>
      <c r="E78" t="s">
        <v>49</v>
      </c>
      <c r="M78">
        <v>0.4</v>
      </c>
      <c r="N78">
        <f t="shared" si="7"/>
        <v>2</v>
      </c>
      <c r="O78">
        <f t="shared" si="8"/>
        <v>1</v>
      </c>
    </row>
    <row r="79" spans="1:15" ht="15.75" x14ac:dyDescent="0.25">
      <c r="A79" s="1" t="s">
        <v>44</v>
      </c>
      <c r="B79" s="17">
        <v>54644.156840900003</v>
      </c>
      <c r="C79" s="16">
        <v>54644.156999999999</v>
      </c>
      <c r="D79" s="3">
        <f t="shared" si="6"/>
        <v>5.4644157</v>
      </c>
      <c r="E79" t="s">
        <v>49</v>
      </c>
      <c r="M79">
        <v>0.4</v>
      </c>
      <c r="N79">
        <f t="shared" si="7"/>
        <v>13</v>
      </c>
      <c r="O79">
        <f t="shared" si="8"/>
        <v>12</v>
      </c>
    </row>
    <row r="80" spans="1:15" ht="15.75" x14ac:dyDescent="0.25">
      <c r="A80" s="1" t="s">
        <v>10</v>
      </c>
      <c r="B80" s="17">
        <v>9646.3079657800008</v>
      </c>
      <c r="C80" s="16">
        <v>9646.3080000000009</v>
      </c>
      <c r="D80" s="3">
        <f t="shared" si="6"/>
        <v>0.96463080000000012</v>
      </c>
      <c r="E80" t="s">
        <v>49</v>
      </c>
      <c r="M80">
        <v>0.4</v>
      </c>
      <c r="N80">
        <f t="shared" si="7"/>
        <v>2</v>
      </c>
      <c r="O80">
        <f t="shared" si="8"/>
        <v>1</v>
      </c>
    </row>
    <row r="81" spans="1:15" ht="15.75" x14ac:dyDescent="0.25">
      <c r="A81" s="1" t="s">
        <v>64</v>
      </c>
      <c r="B81" s="17">
        <v>82108.182119899997</v>
      </c>
      <c r="C81" s="16">
        <v>82108.182000000001</v>
      </c>
      <c r="D81" s="3">
        <f t="shared" si="6"/>
        <v>8.2108182000000003</v>
      </c>
      <c r="E81" t="s">
        <v>108</v>
      </c>
      <c r="M81">
        <v>1</v>
      </c>
      <c r="N81">
        <f t="shared" si="7"/>
        <v>8</v>
      </c>
      <c r="O81">
        <f t="shared" si="8"/>
        <v>7</v>
      </c>
    </row>
    <row r="82" spans="1:15" ht="15.75" x14ac:dyDescent="0.25">
      <c r="A82" s="1" t="s">
        <v>63</v>
      </c>
      <c r="B82" s="17">
        <v>78347.760205400002</v>
      </c>
      <c r="C82" s="16">
        <v>78347.759999999995</v>
      </c>
      <c r="D82" s="3">
        <f t="shared" si="6"/>
        <v>7.8347759999999997</v>
      </c>
      <c r="E82" t="s">
        <v>108</v>
      </c>
      <c r="M82">
        <v>1</v>
      </c>
      <c r="N82">
        <f t="shared" si="7"/>
        <v>7</v>
      </c>
      <c r="O82">
        <f t="shared" si="8"/>
        <v>6</v>
      </c>
    </row>
    <row r="83" spans="1:15" ht="15.75" x14ac:dyDescent="0.25">
      <c r="A83" s="1" t="s">
        <v>25</v>
      </c>
      <c r="B83" s="17">
        <v>15710.7774451</v>
      </c>
      <c r="C83" s="16">
        <v>15710.777</v>
      </c>
      <c r="D83" s="3">
        <f t="shared" si="6"/>
        <v>1.5710776999999998</v>
      </c>
      <c r="E83" t="s">
        <v>49</v>
      </c>
      <c r="M83">
        <v>0.4</v>
      </c>
      <c r="N83">
        <f t="shared" si="7"/>
        <v>3</v>
      </c>
      <c r="O83">
        <f t="shared" si="8"/>
        <v>2</v>
      </c>
    </row>
    <row r="84" spans="1:15" ht="15.75" x14ac:dyDescent="0.25">
      <c r="A84" s="1" t="s">
        <v>12</v>
      </c>
      <c r="B84" s="17">
        <v>27283.429112000002</v>
      </c>
      <c r="C84" s="16">
        <v>27283.429</v>
      </c>
      <c r="D84" s="3">
        <f t="shared" si="6"/>
        <v>2.7283428999999999</v>
      </c>
      <c r="E84" t="s">
        <v>49</v>
      </c>
      <c r="M84">
        <v>0.4</v>
      </c>
      <c r="N84">
        <f t="shared" si="7"/>
        <v>6</v>
      </c>
      <c r="O84">
        <f t="shared" si="8"/>
        <v>5</v>
      </c>
    </row>
    <row r="85" spans="1:15" ht="15.75" x14ac:dyDescent="0.25">
      <c r="A85" s="1" t="s">
        <v>61</v>
      </c>
      <c r="B85" s="17">
        <v>20141.252595900001</v>
      </c>
      <c r="C85" s="16">
        <v>20141.253000000001</v>
      </c>
      <c r="D85" s="3">
        <f t="shared" si="6"/>
        <v>2.0141252999999999</v>
      </c>
      <c r="E85" t="s">
        <v>108</v>
      </c>
      <c r="M85">
        <v>1</v>
      </c>
      <c r="N85">
        <f t="shared" si="7"/>
        <v>2</v>
      </c>
      <c r="O85">
        <f t="shared" si="8"/>
        <v>1</v>
      </c>
    </row>
    <row r="86" spans="1:15" ht="15.75" x14ac:dyDescent="0.25">
      <c r="A86" s="1" t="s">
        <v>66</v>
      </c>
      <c r="B86" s="17">
        <v>22141.466681800001</v>
      </c>
      <c r="C86" s="16">
        <v>22141.844000000001</v>
      </c>
      <c r="D86" s="3">
        <f t="shared" si="6"/>
        <v>2.2141844000000002</v>
      </c>
      <c r="E86" t="s">
        <v>108</v>
      </c>
      <c r="M86">
        <v>1</v>
      </c>
      <c r="N86">
        <f t="shared" si="7"/>
        <v>2</v>
      </c>
      <c r="O86">
        <f t="shared" si="8"/>
        <v>1</v>
      </c>
    </row>
    <row r="87" spans="1:15" ht="15.75" x14ac:dyDescent="0.25">
      <c r="A87" s="1" t="s">
        <v>67</v>
      </c>
      <c r="B87" s="17">
        <v>21219.684770600001</v>
      </c>
      <c r="C87" s="16">
        <v>21220.093000000001</v>
      </c>
      <c r="D87" s="3">
        <f t="shared" si="6"/>
        <v>2.1220093000000002</v>
      </c>
      <c r="E87" t="s">
        <v>108</v>
      </c>
      <c r="M87">
        <v>1</v>
      </c>
      <c r="N87">
        <f t="shared" si="7"/>
        <v>2</v>
      </c>
      <c r="O87">
        <f t="shared" si="8"/>
        <v>1</v>
      </c>
    </row>
    <row r="88" spans="1:15" ht="15.75" x14ac:dyDescent="0.25">
      <c r="A88" s="1" t="s">
        <v>45</v>
      </c>
      <c r="B88" s="17">
        <v>46644.265251700002</v>
      </c>
      <c r="C88" s="16">
        <v>46641.362999999998</v>
      </c>
      <c r="D88" s="3">
        <f t="shared" si="6"/>
        <v>4.6641363</v>
      </c>
      <c r="E88" t="s">
        <v>49</v>
      </c>
      <c r="M88">
        <v>0.4</v>
      </c>
      <c r="N88">
        <f t="shared" si="7"/>
        <v>11</v>
      </c>
      <c r="O88">
        <f t="shared" si="8"/>
        <v>10</v>
      </c>
    </row>
    <row r="89" spans="1:15" ht="15.75" x14ac:dyDescent="0.25">
      <c r="A89" s="1" t="s">
        <v>86</v>
      </c>
      <c r="B89" s="17">
        <v>20034.961405400001</v>
      </c>
      <c r="C89" s="16">
        <v>20034.960999999999</v>
      </c>
      <c r="D89" s="3">
        <f t="shared" si="6"/>
        <v>2.0034961</v>
      </c>
      <c r="E89" t="s">
        <v>108</v>
      </c>
      <c r="M89">
        <v>1</v>
      </c>
      <c r="N89">
        <f t="shared" si="7"/>
        <v>2</v>
      </c>
      <c r="O89">
        <f t="shared" si="8"/>
        <v>1</v>
      </c>
    </row>
    <row r="90" spans="1:15" ht="15.75" x14ac:dyDescent="0.25">
      <c r="A90" s="1" t="s">
        <v>85</v>
      </c>
      <c r="B90" s="17">
        <v>20132.838057199999</v>
      </c>
      <c r="C90" s="16">
        <v>20132.838</v>
      </c>
      <c r="D90" s="3">
        <f t="shared" si="6"/>
        <v>2.0132838</v>
      </c>
      <c r="E90" t="s">
        <v>108</v>
      </c>
      <c r="M90">
        <v>1</v>
      </c>
      <c r="N90">
        <f t="shared" si="7"/>
        <v>2</v>
      </c>
      <c r="O90">
        <f t="shared" si="8"/>
        <v>1</v>
      </c>
    </row>
    <row r="91" spans="1:15" ht="15.75" x14ac:dyDescent="0.25">
      <c r="A91" s="1" t="s">
        <v>84</v>
      </c>
      <c r="B91" s="17">
        <v>22792.843011299999</v>
      </c>
      <c r="C91" s="16">
        <v>22792.539000000001</v>
      </c>
      <c r="D91" s="3">
        <f t="shared" si="6"/>
        <v>2.2792539000000001</v>
      </c>
      <c r="E91" t="s">
        <v>108</v>
      </c>
      <c r="M91">
        <v>1</v>
      </c>
      <c r="N91">
        <f t="shared" si="7"/>
        <v>2</v>
      </c>
      <c r="O91">
        <f t="shared" si="8"/>
        <v>1</v>
      </c>
    </row>
    <row r="92" spans="1:15" ht="15.75" x14ac:dyDescent="0.25">
      <c r="A92" s="1" t="s">
        <v>70</v>
      </c>
      <c r="B92" s="17">
        <v>22713.530832500001</v>
      </c>
      <c r="C92" s="16">
        <v>22709.728999999999</v>
      </c>
      <c r="D92" s="3">
        <f t="shared" si="6"/>
        <v>2.2709728999999998</v>
      </c>
      <c r="E92" t="s">
        <v>108</v>
      </c>
      <c r="M92">
        <v>1</v>
      </c>
      <c r="N92">
        <f t="shared" si="7"/>
        <v>2</v>
      </c>
      <c r="O92">
        <f t="shared" si="8"/>
        <v>1</v>
      </c>
    </row>
    <row r="93" spans="1:15" ht="15.75" x14ac:dyDescent="0.25">
      <c r="A93" s="1" t="s">
        <v>87</v>
      </c>
      <c r="B93" s="17">
        <v>22934.683607200001</v>
      </c>
      <c r="C93" s="16">
        <v>22936.062000000002</v>
      </c>
      <c r="D93" s="3">
        <f t="shared" si="6"/>
        <v>2.2936062000000002</v>
      </c>
      <c r="E93" t="s">
        <v>108</v>
      </c>
      <c r="M93">
        <v>1</v>
      </c>
      <c r="N93">
        <f t="shared" si="7"/>
        <v>2</v>
      </c>
      <c r="O93">
        <f t="shared" si="8"/>
        <v>1</v>
      </c>
    </row>
    <row r="94" spans="1:15" ht="15.75" x14ac:dyDescent="0.25">
      <c r="A94" s="1" t="s">
        <v>42</v>
      </c>
      <c r="B94" s="17">
        <v>9722.3426283299996</v>
      </c>
      <c r="C94" s="16">
        <v>9722.3430000000008</v>
      </c>
      <c r="D94" s="3">
        <f t="shared" si="6"/>
        <v>0.97223430000000011</v>
      </c>
      <c r="E94" t="s">
        <v>49</v>
      </c>
      <c r="M94">
        <v>0.4</v>
      </c>
      <c r="N94">
        <f t="shared" si="7"/>
        <v>2</v>
      </c>
      <c r="O94">
        <f t="shared" si="8"/>
        <v>1</v>
      </c>
    </row>
    <row r="95" spans="1:15" ht="15.75" x14ac:dyDescent="0.25">
      <c r="A95" s="1" t="s">
        <v>8</v>
      </c>
      <c r="B95" s="17">
        <v>11460.0099298</v>
      </c>
      <c r="C95" s="16">
        <v>11460.01</v>
      </c>
      <c r="D95" s="3">
        <f t="shared" si="6"/>
        <v>1.146001</v>
      </c>
      <c r="E95" t="s">
        <v>49</v>
      </c>
      <c r="M95">
        <v>0.4</v>
      </c>
      <c r="N95">
        <f t="shared" si="7"/>
        <v>2</v>
      </c>
      <c r="O95">
        <f t="shared" si="8"/>
        <v>1</v>
      </c>
    </row>
    <row r="96" spans="1:15" ht="15.75" x14ac:dyDescent="0.25">
      <c r="A96" s="1" t="s">
        <v>18</v>
      </c>
      <c r="B96" s="17">
        <v>26477.921571899999</v>
      </c>
      <c r="C96" s="16">
        <v>26476.054</v>
      </c>
      <c r="D96" s="3">
        <f t="shared" si="6"/>
        <v>2.6476054000000002</v>
      </c>
      <c r="E96" t="s">
        <v>49</v>
      </c>
      <c r="M96">
        <v>0.4</v>
      </c>
      <c r="N96">
        <f t="shared" si="7"/>
        <v>6</v>
      </c>
      <c r="O96">
        <f t="shared" si="8"/>
        <v>5</v>
      </c>
    </row>
    <row r="97" spans="1:15" ht="15.75" x14ac:dyDescent="0.25">
      <c r="A97" s="1" t="s">
        <v>80</v>
      </c>
      <c r="B97" s="17">
        <v>87801.811747</v>
      </c>
      <c r="C97" s="16">
        <v>87801.812000000005</v>
      </c>
      <c r="D97" s="3">
        <f t="shared" si="6"/>
        <v>8.7801812000000012</v>
      </c>
      <c r="E97" t="s">
        <v>108</v>
      </c>
      <c r="M97">
        <v>1</v>
      </c>
      <c r="N97">
        <f t="shared" si="7"/>
        <v>8</v>
      </c>
      <c r="O97">
        <f t="shared" si="8"/>
        <v>7</v>
      </c>
    </row>
    <row r="98" spans="1:15" ht="15.75" x14ac:dyDescent="0.25">
      <c r="A98" s="1" t="s">
        <v>23</v>
      </c>
      <c r="B98" s="17">
        <v>19487.859665399999</v>
      </c>
      <c r="C98" s="16">
        <v>19487.86</v>
      </c>
      <c r="D98" s="3">
        <f t="shared" ref="D98:D119" si="9">CONVERT(C98,"m^2","ha")</f>
        <v>1.9487860000000001</v>
      </c>
      <c r="E98" t="s">
        <v>49</v>
      </c>
      <c r="M98">
        <v>0.4</v>
      </c>
      <c r="N98">
        <f t="shared" ref="N98:N119" si="10">ROUNDDOWN(D98/M98,0)</f>
        <v>4</v>
      </c>
      <c r="O98">
        <f t="shared" ref="O98:O119" si="11">N98-1</f>
        <v>3</v>
      </c>
    </row>
    <row r="99" spans="1:15" ht="15.75" x14ac:dyDescent="0.25">
      <c r="A99" s="1" t="s">
        <v>19</v>
      </c>
      <c r="B99" s="17">
        <v>9769.8022646000009</v>
      </c>
      <c r="C99" s="16">
        <v>9769.8019999999997</v>
      </c>
      <c r="D99" s="3">
        <f t="shared" si="9"/>
        <v>0.97698019999999997</v>
      </c>
      <c r="E99" t="s">
        <v>49</v>
      </c>
      <c r="M99">
        <v>0.4</v>
      </c>
      <c r="N99">
        <f t="shared" si="10"/>
        <v>2</v>
      </c>
      <c r="O99">
        <f t="shared" si="11"/>
        <v>1</v>
      </c>
    </row>
    <row r="100" spans="1:15" ht="15.75" x14ac:dyDescent="0.25">
      <c r="A100" s="1" t="s">
        <v>4</v>
      </c>
      <c r="B100" s="17">
        <v>12198.6763378</v>
      </c>
      <c r="C100" s="16">
        <v>12198.675999999999</v>
      </c>
      <c r="D100" s="3">
        <f t="shared" si="9"/>
        <v>1.2198676000000002</v>
      </c>
      <c r="E100" t="s">
        <v>49</v>
      </c>
      <c r="M100">
        <v>0.4</v>
      </c>
      <c r="N100">
        <f t="shared" si="10"/>
        <v>3</v>
      </c>
      <c r="O100">
        <f t="shared" si="11"/>
        <v>2</v>
      </c>
    </row>
    <row r="101" spans="1:15" ht="15.75" x14ac:dyDescent="0.25">
      <c r="A101" s="1" t="s">
        <v>9</v>
      </c>
      <c r="B101" s="17">
        <v>10007.4179312</v>
      </c>
      <c r="C101" s="16">
        <v>10007.418</v>
      </c>
      <c r="D101" s="3">
        <f t="shared" si="9"/>
        <v>1.0007417999999999</v>
      </c>
      <c r="E101" t="s">
        <v>49</v>
      </c>
      <c r="M101">
        <v>0.4</v>
      </c>
      <c r="N101">
        <f t="shared" si="10"/>
        <v>2</v>
      </c>
      <c r="O101">
        <f t="shared" si="11"/>
        <v>1</v>
      </c>
    </row>
    <row r="102" spans="1:15" ht="15.75" x14ac:dyDescent="0.25">
      <c r="A102" s="1" t="s">
        <v>5</v>
      </c>
      <c r="B102" s="17">
        <v>10815.021747000001</v>
      </c>
      <c r="C102" s="16">
        <v>10815.022000000001</v>
      </c>
      <c r="D102" s="3">
        <f t="shared" si="9"/>
        <v>1.0815022000000001</v>
      </c>
      <c r="E102" t="s">
        <v>49</v>
      </c>
      <c r="M102">
        <v>0.4</v>
      </c>
      <c r="N102">
        <f t="shared" si="10"/>
        <v>2</v>
      </c>
      <c r="O102">
        <f t="shared" si="11"/>
        <v>1</v>
      </c>
    </row>
    <row r="103" spans="1:15" ht="15.75" x14ac:dyDescent="0.25">
      <c r="A103" s="1" t="s">
        <v>11</v>
      </c>
      <c r="B103" s="17">
        <v>11839.584875799999</v>
      </c>
      <c r="C103" s="16">
        <v>11839.368</v>
      </c>
      <c r="D103" s="3">
        <f t="shared" si="9"/>
        <v>1.1839368000000001</v>
      </c>
      <c r="E103" t="s">
        <v>49</v>
      </c>
      <c r="M103">
        <v>0.4</v>
      </c>
      <c r="N103">
        <f t="shared" si="10"/>
        <v>2</v>
      </c>
      <c r="O103">
        <f t="shared" si="11"/>
        <v>1</v>
      </c>
    </row>
    <row r="104" spans="1:15" ht="15.75" x14ac:dyDescent="0.25">
      <c r="A104" s="1" t="s">
        <v>13</v>
      </c>
      <c r="B104" s="17">
        <v>25897.6207345</v>
      </c>
      <c r="C104" s="16">
        <v>25897.620999999999</v>
      </c>
      <c r="D104" s="3">
        <f t="shared" si="9"/>
        <v>2.5897621000000002</v>
      </c>
      <c r="E104" t="s">
        <v>49</v>
      </c>
      <c r="M104">
        <v>0.4</v>
      </c>
      <c r="N104">
        <f t="shared" si="10"/>
        <v>6</v>
      </c>
      <c r="O104">
        <f t="shared" si="11"/>
        <v>5</v>
      </c>
    </row>
    <row r="105" spans="1:15" ht="15.75" x14ac:dyDescent="0.25">
      <c r="A105" s="1" t="s">
        <v>62</v>
      </c>
      <c r="B105" s="17">
        <v>72435.231083399995</v>
      </c>
      <c r="C105" s="16">
        <v>72435.254000000001</v>
      </c>
      <c r="D105" s="3">
        <f t="shared" si="9"/>
        <v>7.2435254000000002</v>
      </c>
      <c r="E105" t="s">
        <v>108</v>
      </c>
      <c r="M105">
        <v>1</v>
      </c>
      <c r="N105">
        <f t="shared" si="10"/>
        <v>7</v>
      </c>
      <c r="O105">
        <f t="shared" si="11"/>
        <v>6</v>
      </c>
    </row>
    <row r="106" spans="1:15" ht="15.75" x14ac:dyDescent="0.25">
      <c r="A106" s="1" t="s">
        <v>75</v>
      </c>
      <c r="B106" s="17">
        <v>58229.4010328</v>
      </c>
      <c r="C106" s="16">
        <v>58229.343999999997</v>
      </c>
      <c r="D106" s="3">
        <f t="shared" si="9"/>
        <v>5.8229343999999994</v>
      </c>
      <c r="E106" t="s">
        <v>108</v>
      </c>
      <c r="M106">
        <v>1</v>
      </c>
      <c r="N106">
        <f t="shared" si="10"/>
        <v>5</v>
      </c>
      <c r="O106">
        <f t="shared" si="11"/>
        <v>4</v>
      </c>
    </row>
    <row r="107" spans="1:15" ht="15.75" x14ac:dyDescent="0.25">
      <c r="A107" s="1" t="s">
        <v>74</v>
      </c>
      <c r="B107" s="17">
        <v>47332.130077299997</v>
      </c>
      <c r="C107" s="16">
        <v>47332.027000000002</v>
      </c>
      <c r="D107" s="3">
        <f t="shared" si="9"/>
        <v>4.7332027000000005</v>
      </c>
      <c r="E107" t="s">
        <v>108</v>
      </c>
      <c r="M107">
        <v>1</v>
      </c>
      <c r="N107">
        <f t="shared" si="10"/>
        <v>4</v>
      </c>
      <c r="O107">
        <f t="shared" si="11"/>
        <v>3</v>
      </c>
    </row>
    <row r="108" spans="1:15" ht="15.75" x14ac:dyDescent="0.25">
      <c r="A108" s="1" t="s">
        <v>29</v>
      </c>
      <c r="B108" s="17">
        <v>8141.6173131200003</v>
      </c>
      <c r="C108" s="16">
        <v>8141.6170000000002</v>
      </c>
      <c r="D108" s="3">
        <f t="shared" si="9"/>
        <v>0.8141617000000001</v>
      </c>
      <c r="E108" t="s">
        <v>49</v>
      </c>
      <c r="M108">
        <v>0.4</v>
      </c>
      <c r="N108">
        <f t="shared" si="10"/>
        <v>2</v>
      </c>
      <c r="O108">
        <f t="shared" si="11"/>
        <v>1</v>
      </c>
    </row>
    <row r="109" spans="1:15" ht="15.75" x14ac:dyDescent="0.25">
      <c r="A109" s="1" t="s">
        <v>30</v>
      </c>
      <c r="B109" s="17">
        <v>8161.4407379699996</v>
      </c>
      <c r="C109" s="16">
        <v>8161.4409999999998</v>
      </c>
      <c r="D109" s="3">
        <f t="shared" si="9"/>
        <v>0.81614409999999993</v>
      </c>
      <c r="E109" t="s">
        <v>49</v>
      </c>
      <c r="M109">
        <v>0.4</v>
      </c>
      <c r="N109">
        <f t="shared" si="10"/>
        <v>2</v>
      </c>
      <c r="O109">
        <f t="shared" si="11"/>
        <v>1</v>
      </c>
    </row>
    <row r="110" spans="1:15" ht="15.75" x14ac:dyDescent="0.25">
      <c r="A110" s="1" t="s">
        <v>24</v>
      </c>
      <c r="B110" s="17">
        <v>11698.393379900001</v>
      </c>
      <c r="C110" s="16">
        <v>11698.605</v>
      </c>
      <c r="D110" s="3">
        <f t="shared" si="9"/>
        <v>1.1698605</v>
      </c>
      <c r="E110" t="s">
        <v>49</v>
      </c>
      <c r="M110">
        <v>0.4</v>
      </c>
      <c r="N110">
        <f t="shared" si="10"/>
        <v>2</v>
      </c>
      <c r="O110">
        <f t="shared" si="11"/>
        <v>1</v>
      </c>
    </row>
    <row r="111" spans="1:15" ht="15.75" x14ac:dyDescent="0.25">
      <c r="A111" s="1" t="s">
        <v>92</v>
      </c>
      <c r="B111" s="17">
        <v>133162.46580899999</v>
      </c>
      <c r="C111" s="16">
        <v>133162.46599999999</v>
      </c>
      <c r="D111" s="3">
        <f t="shared" si="9"/>
        <v>13.316246599999998</v>
      </c>
      <c r="E111" t="s">
        <v>108</v>
      </c>
      <c r="M111">
        <v>1</v>
      </c>
      <c r="N111">
        <f t="shared" si="10"/>
        <v>13</v>
      </c>
      <c r="O111">
        <f t="shared" si="11"/>
        <v>12</v>
      </c>
    </row>
    <row r="112" spans="1:15" ht="15.75" x14ac:dyDescent="0.25">
      <c r="A112" s="1" t="s">
        <v>76</v>
      </c>
      <c r="B112" s="17">
        <v>46298.488761300003</v>
      </c>
      <c r="C112" s="16">
        <v>46298.489000000001</v>
      </c>
      <c r="D112" s="3">
        <f t="shared" si="9"/>
        <v>4.6298489000000007</v>
      </c>
      <c r="E112" t="s">
        <v>108</v>
      </c>
      <c r="M112">
        <v>1</v>
      </c>
      <c r="N112">
        <f t="shared" si="10"/>
        <v>4</v>
      </c>
      <c r="O112">
        <f t="shared" si="11"/>
        <v>3</v>
      </c>
    </row>
    <row r="113" spans="1:21" ht="15.75" x14ac:dyDescent="0.25">
      <c r="A113" s="1" t="s">
        <v>82</v>
      </c>
      <c r="B113" s="17">
        <v>40454.374507200002</v>
      </c>
      <c r="C113" s="16">
        <v>40456.404000000002</v>
      </c>
      <c r="D113" s="3">
        <f t="shared" si="9"/>
        <v>4.0456403999999999</v>
      </c>
      <c r="E113" t="s">
        <v>108</v>
      </c>
      <c r="M113">
        <v>1</v>
      </c>
      <c r="N113">
        <f t="shared" si="10"/>
        <v>4</v>
      </c>
      <c r="O113">
        <f t="shared" si="11"/>
        <v>3</v>
      </c>
    </row>
    <row r="114" spans="1:21" ht="15.75" x14ac:dyDescent="0.25">
      <c r="A114" s="1" t="s">
        <v>16</v>
      </c>
      <c r="B114" s="17">
        <v>26124.801613700001</v>
      </c>
      <c r="C114" s="16">
        <v>26124.802</v>
      </c>
      <c r="D114" s="3">
        <f t="shared" si="9"/>
        <v>2.6124801999999998</v>
      </c>
      <c r="E114" t="s">
        <v>49</v>
      </c>
      <c r="M114">
        <v>0.4</v>
      </c>
      <c r="N114">
        <f t="shared" si="10"/>
        <v>6</v>
      </c>
      <c r="O114">
        <f t="shared" si="11"/>
        <v>5</v>
      </c>
    </row>
    <row r="115" spans="1:21" ht="15.75" x14ac:dyDescent="0.25">
      <c r="A115" s="1" t="s">
        <v>93</v>
      </c>
      <c r="B115" s="17">
        <v>37359.904002900003</v>
      </c>
      <c r="C115" s="16">
        <v>37361.288</v>
      </c>
      <c r="D115" s="3">
        <f t="shared" si="9"/>
        <v>3.7361288000000004</v>
      </c>
      <c r="E115" t="s">
        <v>108</v>
      </c>
      <c r="M115">
        <v>1</v>
      </c>
      <c r="N115">
        <f t="shared" si="10"/>
        <v>3</v>
      </c>
      <c r="O115">
        <f t="shared" si="11"/>
        <v>2</v>
      </c>
      <c r="U115">
        <f>248/685</f>
        <v>0.36204379562043798</v>
      </c>
    </row>
    <row r="116" spans="1:21" ht="15.75" x14ac:dyDescent="0.25">
      <c r="A116" s="1" t="s">
        <v>98</v>
      </c>
      <c r="B116" s="17">
        <v>37360.350009499998</v>
      </c>
      <c r="C116" s="16">
        <v>37362.366000000002</v>
      </c>
      <c r="D116" s="3">
        <f t="shared" si="9"/>
        <v>3.7362366000000002</v>
      </c>
      <c r="E116" t="s">
        <v>108</v>
      </c>
      <c r="M116">
        <v>1</v>
      </c>
      <c r="N116">
        <f t="shared" si="10"/>
        <v>3</v>
      </c>
      <c r="O116">
        <f t="shared" si="11"/>
        <v>2</v>
      </c>
    </row>
    <row r="117" spans="1:21" ht="15.75" x14ac:dyDescent="0.25">
      <c r="A117" s="1" t="s">
        <v>83</v>
      </c>
      <c r="B117" s="17">
        <v>30381.322032200002</v>
      </c>
      <c r="C117" s="16">
        <v>30381.322</v>
      </c>
      <c r="D117" s="3">
        <f t="shared" si="9"/>
        <v>3.0381322000000002</v>
      </c>
      <c r="E117" t="s">
        <v>108</v>
      </c>
      <c r="M117">
        <v>1</v>
      </c>
      <c r="N117">
        <f t="shared" si="10"/>
        <v>3</v>
      </c>
      <c r="O117">
        <f t="shared" si="11"/>
        <v>2</v>
      </c>
    </row>
    <row r="118" spans="1:21" ht="15.75" x14ac:dyDescent="0.25">
      <c r="A118" s="1" t="s">
        <v>106</v>
      </c>
      <c r="B118" s="17">
        <v>23528.058459600001</v>
      </c>
      <c r="C118" s="16">
        <v>23528.12</v>
      </c>
      <c r="D118" s="3">
        <f t="shared" si="9"/>
        <v>2.3528120000000001</v>
      </c>
      <c r="E118" t="s">
        <v>108</v>
      </c>
      <c r="M118">
        <v>1</v>
      </c>
      <c r="N118">
        <f t="shared" si="10"/>
        <v>2</v>
      </c>
      <c r="O118">
        <f t="shared" si="11"/>
        <v>1</v>
      </c>
    </row>
    <row r="119" spans="1:21" ht="15.75" x14ac:dyDescent="0.25">
      <c r="B119" s="17">
        <v>668660.58800400002</v>
      </c>
      <c r="C119" s="16">
        <v>668661.43000000005</v>
      </c>
      <c r="D119" s="3">
        <f t="shared" si="9"/>
        <v>66.866143000000008</v>
      </c>
      <c r="E119" t="s">
        <v>120</v>
      </c>
      <c r="M119">
        <v>4</v>
      </c>
      <c r="N119">
        <f t="shared" si="10"/>
        <v>16</v>
      </c>
      <c r="O119">
        <f t="shared" si="11"/>
        <v>15</v>
      </c>
    </row>
    <row r="123" spans="1:21" x14ac:dyDescent="0.25">
      <c r="N123" t="s">
        <v>121</v>
      </c>
      <c r="O123">
        <f>SUM(O2:O119)</f>
        <v>517</v>
      </c>
    </row>
    <row r="128" spans="1:21" x14ac:dyDescent="0.25">
      <c r="A128" s="1" t="s">
        <v>167</v>
      </c>
    </row>
    <row r="129" spans="1:20" x14ac:dyDescent="0.25">
      <c r="A129" s="1" t="s">
        <v>0</v>
      </c>
      <c r="B129" s="17" t="s">
        <v>1</v>
      </c>
      <c r="C129" s="16" t="s">
        <v>2</v>
      </c>
      <c r="D129" s="2" t="s">
        <v>168</v>
      </c>
      <c r="E129" t="s">
        <v>48</v>
      </c>
      <c r="F129" s="2" t="s">
        <v>135</v>
      </c>
      <c r="G129" s="2" t="s">
        <v>50</v>
      </c>
      <c r="H129" s="2" t="s">
        <v>51</v>
      </c>
      <c r="I129" s="2" t="s">
        <v>53</v>
      </c>
      <c r="J129" s="2" t="s">
        <v>48</v>
      </c>
      <c r="K129" s="2" t="s">
        <v>135</v>
      </c>
      <c r="L129" s="2" t="s">
        <v>50</v>
      </c>
      <c r="M129" s="2" t="s">
        <v>51</v>
      </c>
      <c r="N129" s="2" t="s">
        <v>53</v>
      </c>
      <c r="O129" s="2" t="s">
        <v>48</v>
      </c>
      <c r="P129" s="2" t="s">
        <v>135</v>
      </c>
      <c r="Q129" s="2" t="s">
        <v>50</v>
      </c>
      <c r="R129" s="2" t="s">
        <v>51</v>
      </c>
      <c r="S129" s="2" t="s">
        <v>53</v>
      </c>
      <c r="T129" s="2" t="s">
        <v>52</v>
      </c>
    </row>
    <row r="130" spans="1:20" ht="15.75" x14ac:dyDescent="0.25">
      <c r="A130" s="1" t="s">
        <v>68</v>
      </c>
      <c r="B130" s="17">
        <v>334848.88518799999</v>
      </c>
      <c r="C130" s="16">
        <v>334848.88500000001</v>
      </c>
      <c r="D130" s="3">
        <f t="shared" ref="D130:D141" si="12">CONVERT(C130,"m^2","ha")</f>
        <v>33.484888499999997</v>
      </c>
      <c r="E130" t="s">
        <v>108</v>
      </c>
      <c r="F130">
        <v>262804</v>
      </c>
      <c r="G130" s="3">
        <f t="shared" ref="G130:G141" si="13">CONVERT(F130,"m^2","ha")</f>
        <v>26.2804</v>
      </c>
      <c r="H130">
        <v>1</v>
      </c>
      <c r="I130">
        <f t="shared" ref="I130:I141" si="14">ROUNDDOWN(G130/H130,0)</f>
        <v>26</v>
      </c>
      <c r="J130" t="s">
        <v>120</v>
      </c>
      <c r="K130" s="18">
        <f>B130-F130</f>
        <v>72044.885187999986</v>
      </c>
      <c r="L130" s="3">
        <f t="shared" ref="L130:L141" si="15">CONVERT(K130,"m^2","ha")</f>
        <v>7.204488518799999</v>
      </c>
      <c r="M130">
        <v>4</v>
      </c>
      <c r="N130">
        <f t="shared" ref="N130:N134" si="16">ROUNDDOWN(L130/M130,0)</f>
        <v>1</v>
      </c>
      <c r="T130">
        <f t="shared" ref="T130:T137" si="17">SUM(I130,N130,S130)-1</f>
        <v>26</v>
      </c>
    </row>
    <row r="131" spans="1:20" ht="15.75" x14ac:dyDescent="0.25">
      <c r="A131" s="1" t="s">
        <v>118</v>
      </c>
      <c r="B131" s="17">
        <v>568111.48643299995</v>
      </c>
      <c r="C131" s="16">
        <v>568110.23300000001</v>
      </c>
      <c r="D131" s="3">
        <f t="shared" si="12"/>
        <v>56.811023299999995</v>
      </c>
      <c r="E131" t="s">
        <v>108</v>
      </c>
      <c r="F131">
        <f>197538+2930+39422</f>
        <v>239890</v>
      </c>
      <c r="G131" s="3">
        <f t="shared" si="13"/>
        <v>23.989000000000001</v>
      </c>
      <c r="H131">
        <v>1</v>
      </c>
      <c r="I131">
        <f t="shared" si="14"/>
        <v>23</v>
      </c>
      <c r="J131" t="s">
        <v>120</v>
      </c>
      <c r="K131" s="18">
        <v>196160</v>
      </c>
      <c r="L131" s="3">
        <f t="shared" si="15"/>
        <v>19.616000000000003</v>
      </c>
      <c r="M131">
        <v>4</v>
      </c>
      <c r="N131">
        <f t="shared" si="16"/>
        <v>4</v>
      </c>
      <c r="O131" t="s">
        <v>170</v>
      </c>
      <c r="P131" s="17">
        <f>B131-F131-K131</f>
        <v>132061.48643299995</v>
      </c>
      <c r="Q131" s="3">
        <f>CONVERT(P131,"m^2","ha")</f>
        <v>13.206148643299995</v>
      </c>
      <c r="R131" t="s">
        <v>171</v>
      </c>
      <c r="S131">
        <v>1</v>
      </c>
      <c r="T131">
        <f t="shared" si="17"/>
        <v>27</v>
      </c>
    </row>
    <row r="132" spans="1:20" ht="15.75" x14ac:dyDescent="0.25">
      <c r="A132" s="1" t="s">
        <v>117</v>
      </c>
      <c r="B132" s="17">
        <v>773953.13420099998</v>
      </c>
      <c r="C132" s="16">
        <v>773952.30099999998</v>
      </c>
      <c r="D132" s="3">
        <f t="shared" si="12"/>
        <v>77.395230099999992</v>
      </c>
      <c r="E132" t="s">
        <v>108</v>
      </c>
      <c r="F132">
        <v>54746</v>
      </c>
      <c r="G132" s="3">
        <f t="shared" si="13"/>
        <v>5.4746000000000006</v>
      </c>
      <c r="H132">
        <v>1</v>
      </c>
      <c r="I132">
        <f t="shared" si="14"/>
        <v>5</v>
      </c>
      <c r="J132" t="s">
        <v>120</v>
      </c>
      <c r="K132" s="18">
        <f>B132-F132</f>
        <v>719207.13420099998</v>
      </c>
      <c r="L132" s="3">
        <f t="shared" si="15"/>
        <v>71.9207134201</v>
      </c>
      <c r="M132">
        <v>4</v>
      </c>
      <c r="N132">
        <f t="shared" si="16"/>
        <v>17</v>
      </c>
      <c r="T132">
        <f t="shared" si="17"/>
        <v>21</v>
      </c>
    </row>
    <row r="133" spans="1:20" ht="15.75" x14ac:dyDescent="0.25">
      <c r="A133" s="1" t="s">
        <v>97</v>
      </c>
      <c r="B133" s="17">
        <v>217814.69557099999</v>
      </c>
      <c r="C133" s="16">
        <v>217816.22099999999</v>
      </c>
      <c r="D133" s="3">
        <f t="shared" si="12"/>
        <v>21.7816221</v>
      </c>
      <c r="E133" t="s">
        <v>108</v>
      </c>
      <c r="F133">
        <v>90302</v>
      </c>
      <c r="G133" s="3">
        <f t="shared" si="13"/>
        <v>9.0302000000000007</v>
      </c>
      <c r="H133">
        <v>1</v>
      </c>
      <c r="I133">
        <f t="shared" si="14"/>
        <v>9</v>
      </c>
      <c r="J133" t="s">
        <v>120</v>
      </c>
      <c r="K133" s="18">
        <f>B133-F133</f>
        <v>127512.69557099999</v>
      </c>
      <c r="L133" s="3">
        <f t="shared" si="15"/>
        <v>12.751269557100001</v>
      </c>
      <c r="M133">
        <v>4</v>
      </c>
      <c r="N133">
        <f t="shared" si="16"/>
        <v>3</v>
      </c>
      <c r="T133">
        <f t="shared" si="17"/>
        <v>11</v>
      </c>
    </row>
    <row r="134" spans="1:20" ht="15.75" x14ac:dyDescent="0.25">
      <c r="A134" s="1" t="s">
        <v>116</v>
      </c>
      <c r="B134" s="17">
        <v>190817.11718500001</v>
      </c>
      <c r="C134" s="16">
        <v>190815.011</v>
      </c>
      <c r="D134" s="3">
        <f t="shared" si="12"/>
        <v>19.081501100000001</v>
      </c>
      <c r="E134" t="s">
        <v>108</v>
      </c>
      <c r="F134">
        <v>39473</v>
      </c>
      <c r="G134" s="3">
        <f t="shared" si="13"/>
        <v>3.9473000000000003</v>
      </c>
      <c r="H134">
        <v>1</v>
      </c>
      <c r="I134">
        <f t="shared" si="14"/>
        <v>3</v>
      </c>
      <c r="J134" t="s">
        <v>120</v>
      </c>
      <c r="K134" s="18">
        <f>B134-F134</f>
        <v>151344.11718500001</v>
      </c>
      <c r="L134" s="3">
        <f t="shared" si="15"/>
        <v>15.134411718500001</v>
      </c>
      <c r="M134">
        <v>4</v>
      </c>
      <c r="N134">
        <f t="shared" si="16"/>
        <v>3</v>
      </c>
      <c r="T134">
        <f t="shared" si="17"/>
        <v>5</v>
      </c>
    </row>
    <row r="135" spans="1:20" ht="15.75" x14ac:dyDescent="0.25">
      <c r="A135" s="1" t="s">
        <v>112</v>
      </c>
      <c r="B135" s="17">
        <v>446260.89808700001</v>
      </c>
      <c r="C135" s="16">
        <v>446261.484</v>
      </c>
      <c r="D135" s="3">
        <f t="shared" si="12"/>
        <v>44.626148399999998</v>
      </c>
      <c r="E135" t="s">
        <v>108</v>
      </c>
      <c r="F135">
        <f>36550+63039</f>
        <v>99589</v>
      </c>
      <c r="G135" s="3">
        <f t="shared" si="13"/>
        <v>9.9588999999999999</v>
      </c>
      <c r="H135" s="15">
        <v>1</v>
      </c>
      <c r="I135">
        <f t="shared" si="14"/>
        <v>9</v>
      </c>
      <c r="J135" t="s">
        <v>120</v>
      </c>
      <c r="K135" s="18">
        <f>B135-F135</f>
        <v>346671.89808700001</v>
      </c>
      <c r="L135" s="3">
        <f t="shared" si="15"/>
        <v>34.667189808700002</v>
      </c>
      <c r="M135">
        <v>4</v>
      </c>
      <c r="N135">
        <f t="shared" ref="N135:N140" si="18">ROUNDDOWN(L135/M135,0)</f>
        <v>8</v>
      </c>
      <c r="T135">
        <f t="shared" si="17"/>
        <v>16</v>
      </c>
    </row>
    <row r="136" spans="1:20" ht="15.75" x14ac:dyDescent="0.25">
      <c r="A136" s="1" t="s">
        <v>81</v>
      </c>
      <c r="B136" s="17">
        <v>217871.163298</v>
      </c>
      <c r="C136" s="16">
        <v>217871.163</v>
      </c>
      <c r="D136" s="3">
        <f t="shared" si="12"/>
        <v>21.787116300000001</v>
      </c>
      <c r="E136" t="s">
        <v>108</v>
      </c>
      <c r="F136" s="1">
        <f>78237+19994</f>
        <v>98231</v>
      </c>
      <c r="G136" s="3">
        <f t="shared" si="13"/>
        <v>9.8231000000000019</v>
      </c>
      <c r="H136" s="15">
        <v>1</v>
      </c>
      <c r="I136">
        <f t="shared" si="14"/>
        <v>9</v>
      </c>
      <c r="J136" s="14" t="s">
        <v>120</v>
      </c>
      <c r="K136" s="14">
        <f>B136-F136</f>
        <v>119640.163298</v>
      </c>
      <c r="L136" s="3">
        <f t="shared" si="15"/>
        <v>11.9640163298</v>
      </c>
      <c r="M136">
        <v>4</v>
      </c>
      <c r="N136">
        <f t="shared" si="18"/>
        <v>2</v>
      </c>
      <c r="T136">
        <f t="shared" si="17"/>
        <v>10</v>
      </c>
    </row>
    <row r="137" spans="1:20" ht="15.75" x14ac:dyDescent="0.25">
      <c r="A137" s="1">
        <v>2537109</v>
      </c>
      <c r="B137" s="17">
        <v>304551.90192099998</v>
      </c>
      <c r="C137" s="16">
        <v>304550.83299999998</v>
      </c>
      <c r="D137" s="3">
        <f t="shared" si="12"/>
        <v>30.455083300000002</v>
      </c>
      <c r="E137" t="s">
        <v>169</v>
      </c>
      <c r="F137">
        <v>21100</v>
      </c>
      <c r="G137" s="3">
        <f t="shared" si="13"/>
        <v>2.1100000000000003</v>
      </c>
      <c r="H137">
        <v>0.4</v>
      </c>
      <c r="I137">
        <f t="shared" si="14"/>
        <v>5</v>
      </c>
      <c r="J137" t="s">
        <v>108</v>
      </c>
      <c r="K137" s="18">
        <v>70758</v>
      </c>
      <c r="L137" s="3">
        <f t="shared" si="15"/>
        <v>7.0758000000000001</v>
      </c>
      <c r="M137">
        <v>2</v>
      </c>
      <c r="N137">
        <f t="shared" si="18"/>
        <v>3</v>
      </c>
      <c r="O137" t="s">
        <v>109</v>
      </c>
      <c r="P137" s="17">
        <f>B137-F137-K137</f>
        <v>212693.90192099998</v>
      </c>
      <c r="Q137" s="3">
        <f>CONVERT(P137,"m^2","ha")</f>
        <v>21.269390192099998</v>
      </c>
      <c r="R137">
        <v>2</v>
      </c>
      <c r="S137">
        <f>ROUNDDOWN(I137/R137,0)</f>
        <v>2</v>
      </c>
      <c r="T137">
        <f t="shared" si="17"/>
        <v>9</v>
      </c>
    </row>
    <row r="138" spans="1:20" ht="15.75" x14ac:dyDescent="0.25">
      <c r="A138" s="1" t="s">
        <v>71</v>
      </c>
      <c r="B138" s="17">
        <v>413857.383386</v>
      </c>
      <c r="C138" s="16">
        <v>413858.94</v>
      </c>
      <c r="D138" s="3">
        <f t="shared" si="12"/>
        <v>41.385894000000008</v>
      </c>
      <c r="E138" t="s">
        <v>108</v>
      </c>
      <c r="F138">
        <v>287078</v>
      </c>
      <c r="G138" s="3">
        <f t="shared" si="13"/>
        <v>28.707800000000002</v>
      </c>
      <c r="H138">
        <v>1</v>
      </c>
      <c r="I138">
        <f t="shared" si="14"/>
        <v>28</v>
      </c>
      <c r="J138" t="s">
        <v>109</v>
      </c>
      <c r="K138" s="18">
        <f>B138-F138</f>
        <v>126779.383386</v>
      </c>
      <c r="L138" s="3">
        <f t="shared" si="15"/>
        <v>12.677938338600001</v>
      </c>
      <c r="M138">
        <v>2</v>
      </c>
      <c r="N138">
        <f t="shared" si="18"/>
        <v>6</v>
      </c>
      <c r="T138">
        <f>SUM(N138,I138)-1</f>
        <v>33</v>
      </c>
    </row>
    <row r="139" spans="1:20" ht="15.75" x14ac:dyDescent="0.25">
      <c r="A139" s="1">
        <v>2825520</v>
      </c>
      <c r="B139" s="17">
        <v>160771.37054599999</v>
      </c>
      <c r="C139" s="16">
        <v>160771.37100000001</v>
      </c>
      <c r="D139" s="3">
        <f t="shared" si="12"/>
        <v>16.077137100000002</v>
      </c>
      <c r="E139" t="s">
        <v>108</v>
      </c>
      <c r="F139">
        <v>97452</v>
      </c>
      <c r="G139" s="3">
        <f t="shared" si="13"/>
        <v>9.7452000000000005</v>
      </c>
      <c r="H139">
        <v>1</v>
      </c>
      <c r="I139">
        <f t="shared" si="14"/>
        <v>9</v>
      </c>
      <c r="J139" t="s">
        <v>120</v>
      </c>
      <c r="K139" s="18">
        <f>B139-F139</f>
        <v>63319.370545999991</v>
      </c>
      <c r="L139" s="3">
        <f t="shared" si="15"/>
        <v>6.3319370545999991</v>
      </c>
      <c r="M139">
        <v>4</v>
      </c>
      <c r="N139">
        <f t="shared" si="18"/>
        <v>1</v>
      </c>
      <c r="O139">
        <f>N139-1</f>
        <v>0</v>
      </c>
      <c r="T139">
        <f>SUM(N139,I139)-1</f>
        <v>9</v>
      </c>
    </row>
    <row r="140" spans="1:20" ht="15.75" x14ac:dyDescent="0.25">
      <c r="A140" s="1">
        <v>14593548</v>
      </c>
      <c r="B140" s="17">
        <v>80000</v>
      </c>
      <c r="C140" s="16">
        <v>80000</v>
      </c>
      <c r="D140" s="3">
        <f t="shared" si="12"/>
        <v>8</v>
      </c>
      <c r="E140" t="s">
        <v>109</v>
      </c>
      <c r="F140">
        <v>48000</v>
      </c>
      <c r="G140" s="3">
        <f t="shared" si="13"/>
        <v>4.8</v>
      </c>
      <c r="H140">
        <v>2</v>
      </c>
      <c r="I140">
        <f t="shared" si="14"/>
        <v>2</v>
      </c>
      <c r="J140" t="s">
        <v>120</v>
      </c>
      <c r="K140" s="18">
        <f>B140-F140</f>
        <v>32000</v>
      </c>
      <c r="L140" s="19">
        <f t="shared" si="15"/>
        <v>3.1999999999999997</v>
      </c>
      <c r="M140">
        <v>4</v>
      </c>
      <c r="N140">
        <f t="shared" si="18"/>
        <v>0</v>
      </c>
      <c r="T140">
        <f>SUM(N140,I140)-1</f>
        <v>1</v>
      </c>
    </row>
    <row r="141" spans="1:20" ht="15.75" x14ac:dyDescent="0.25">
      <c r="A141" s="1" t="s">
        <v>69</v>
      </c>
      <c r="B141" s="17">
        <v>81161.687105899997</v>
      </c>
      <c r="C141" s="16">
        <v>81161.687000000005</v>
      </c>
      <c r="D141" s="3">
        <f t="shared" si="12"/>
        <v>8.1161687000000011</v>
      </c>
      <c r="E141" t="s">
        <v>108</v>
      </c>
      <c r="F141">
        <v>22388</v>
      </c>
      <c r="G141" s="3">
        <f t="shared" si="13"/>
        <v>2.2387999999999999</v>
      </c>
      <c r="H141">
        <v>1</v>
      </c>
      <c r="I141">
        <f t="shared" si="14"/>
        <v>2</v>
      </c>
      <c r="J141" t="s">
        <v>172</v>
      </c>
      <c r="K141" s="18">
        <f>B141-F141</f>
        <v>58773.687105899997</v>
      </c>
      <c r="L141" s="19">
        <f t="shared" si="15"/>
        <v>5.8773687105899999</v>
      </c>
      <c r="M141">
        <v>4</v>
      </c>
      <c r="N141">
        <f>ROUNDDOWN(D141/M141,0)</f>
        <v>2</v>
      </c>
      <c r="O141">
        <f>N141-1</f>
        <v>1</v>
      </c>
      <c r="T141">
        <f>SUM(N141,I141)-1</f>
        <v>3</v>
      </c>
    </row>
    <row r="143" spans="1:20" x14ac:dyDescent="0.25">
      <c r="O143">
        <f>SUM(T130:T140)</f>
        <v>168</v>
      </c>
    </row>
    <row r="146" spans="15:15" x14ac:dyDescent="0.25">
      <c r="O146">
        <f>O123+O143</f>
        <v>685</v>
      </c>
    </row>
  </sheetData>
  <sortState xmlns:xlrd2="http://schemas.microsoft.com/office/spreadsheetml/2017/richdata2" ref="A2:O119">
    <sortCondition ref="A2:A119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DB38-E807-4862-B18F-9CC318CA45CA}">
  <dimension ref="A1:M26"/>
  <sheetViews>
    <sheetView workbookViewId="0">
      <selection activeCell="H20" sqref="H20"/>
    </sheetView>
  </sheetViews>
  <sheetFormatPr defaultColWidth="9.140625" defaultRowHeight="15.75" x14ac:dyDescent="0.25"/>
  <cols>
    <col min="1" max="1" width="26.140625" style="4" bestFit="1" customWidth="1"/>
    <col min="2" max="2" width="15.28515625" style="4" bestFit="1" customWidth="1"/>
    <col min="3" max="3" width="18.28515625" style="4" bestFit="1" customWidth="1"/>
    <col min="4" max="4" width="11.85546875" style="4" customWidth="1"/>
    <col min="5" max="5" width="18.42578125" style="4" bestFit="1" customWidth="1"/>
    <col min="6" max="6" width="9.140625" style="4"/>
    <col min="7" max="7" width="10.140625" style="4" bestFit="1" customWidth="1"/>
    <col min="8" max="8" width="35" style="4" customWidth="1"/>
    <col min="9" max="9" width="15" style="4" bestFit="1" customWidth="1"/>
    <col min="10" max="10" width="9.140625" style="4"/>
    <col min="11" max="11" width="10.7109375" style="4" bestFit="1" customWidth="1"/>
    <col min="12" max="12" width="10.42578125" style="4" bestFit="1" customWidth="1"/>
    <col min="13" max="13" width="16.140625" style="5" bestFit="1" customWidth="1"/>
    <col min="14" max="16384" width="9.140625" style="4"/>
  </cols>
  <sheetData>
    <row r="1" spans="1:13" x14ac:dyDescent="0.25">
      <c r="H1" s="23" t="s">
        <v>166</v>
      </c>
      <c r="I1" s="24"/>
      <c r="J1" s="24"/>
      <c r="K1" s="24"/>
      <c r="L1" s="24"/>
      <c r="M1" s="24"/>
    </row>
    <row r="2" spans="1:13" x14ac:dyDescent="0.25">
      <c r="B2" s="6" t="s">
        <v>134</v>
      </c>
      <c r="C2" s="13" t="s">
        <v>165</v>
      </c>
      <c r="D2" s="13" t="s">
        <v>132</v>
      </c>
      <c r="E2" s="13"/>
      <c r="H2" s="7" t="s">
        <v>164</v>
      </c>
      <c r="I2" s="7" t="s">
        <v>134</v>
      </c>
      <c r="J2" s="7" t="s">
        <v>163</v>
      </c>
      <c r="K2" s="7" t="s">
        <v>162</v>
      </c>
      <c r="L2" s="7" t="s">
        <v>132</v>
      </c>
      <c r="M2" s="7" t="s">
        <v>161</v>
      </c>
    </row>
    <row r="3" spans="1:13" x14ac:dyDescent="0.25">
      <c r="A3" s="13" t="s">
        <v>160</v>
      </c>
      <c r="B3" s="6">
        <v>38</v>
      </c>
      <c r="C3" s="6">
        <v>24</v>
      </c>
      <c r="D3" s="6">
        <f>B3-C3</f>
        <v>14</v>
      </c>
      <c r="E3" s="6"/>
      <c r="H3" s="12" t="s">
        <v>159</v>
      </c>
      <c r="I3" s="20" t="s">
        <v>127</v>
      </c>
      <c r="J3" s="21"/>
      <c r="K3" s="21"/>
      <c r="L3" s="21"/>
      <c r="M3" s="22"/>
    </row>
    <row r="4" spans="1:13" x14ac:dyDescent="0.25">
      <c r="A4" s="13" t="s">
        <v>158</v>
      </c>
      <c r="B4" s="6">
        <v>52</v>
      </c>
      <c r="C4" s="6">
        <v>24</v>
      </c>
      <c r="D4" s="6">
        <f>B4-C4</f>
        <v>28</v>
      </c>
      <c r="E4" s="6"/>
      <c r="H4" s="11" t="s">
        <v>157</v>
      </c>
      <c r="I4" s="9">
        <v>12</v>
      </c>
      <c r="J4" s="9"/>
      <c r="K4" s="9"/>
      <c r="L4" s="9"/>
      <c r="M4" s="9" t="s">
        <v>124</v>
      </c>
    </row>
    <row r="5" spans="1:13" x14ac:dyDescent="0.25">
      <c r="A5" s="13" t="s">
        <v>156</v>
      </c>
      <c r="B5" s="6">
        <v>185</v>
      </c>
      <c r="C5" s="6">
        <v>13</v>
      </c>
      <c r="D5" s="6">
        <f>B5-C5</f>
        <v>172</v>
      </c>
      <c r="E5" s="6"/>
      <c r="H5" s="12" t="s">
        <v>155</v>
      </c>
      <c r="I5" s="20" t="s">
        <v>127</v>
      </c>
      <c r="J5" s="21"/>
      <c r="K5" s="21"/>
      <c r="L5" s="21"/>
      <c r="M5" s="22"/>
    </row>
    <row r="6" spans="1:13" x14ac:dyDescent="0.25">
      <c r="A6" s="13" t="s">
        <v>154</v>
      </c>
      <c r="B6" s="6">
        <v>162</v>
      </c>
      <c r="C6" s="6">
        <v>95</v>
      </c>
      <c r="D6" s="6">
        <f>B6-C6</f>
        <v>67</v>
      </c>
      <c r="E6" s="6"/>
      <c r="H6" s="12" t="s">
        <v>153</v>
      </c>
      <c r="I6" s="20" t="s">
        <v>127</v>
      </c>
      <c r="J6" s="21"/>
      <c r="K6" s="21"/>
      <c r="L6" s="21"/>
      <c r="M6" s="22"/>
    </row>
    <row r="7" spans="1:13" x14ac:dyDescent="0.25">
      <c r="A7" s="13" t="s">
        <v>152</v>
      </c>
      <c r="B7" s="6">
        <v>20</v>
      </c>
      <c r="C7" s="6">
        <v>0</v>
      </c>
      <c r="D7" s="6">
        <v>20</v>
      </c>
      <c r="E7" s="6"/>
      <c r="H7" s="10" t="s">
        <v>151</v>
      </c>
      <c r="I7" s="9">
        <v>162</v>
      </c>
      <c r="J7" s="9">
        <f>C26</f>
        <v>95</v>
      </c>
      <c r="K7" s="9"/>
      <c r="L7" s="9">
        <f>D26</f>
        <v>67</v>
      </c>
      <c r="M7" s="9" t="s">
        <v>124</v>
      </c>
    </row>
    <row r="8" spans="1:13" x14ac:dyDescent="0.25">
      <c r="A8" s="13" t="s">
        <v>150</v>
      </c>
      <c r="B8" s="6" t="s">
        <v>149</v>
      </c>
      <c r="C8" s="6">
        <v>27</v>
      </c>
      <c r="D8" s="6">
        <v>30</v>
      </c>
      <c r="E8" s="6"/>
      <c r="H8" s="12" t="s">
        <v>148</v>
      </c>
      <c r="I8" s="20" t="s">
        <v>127</v>
      </c>
      <c r="J8" s="21"/>
      <c r="K8" s="21"/>
      <c r="L8" s="21"/>
      <c r="M8" s="22"/>
    </row>
    <row r="9" spans="1:13" x14ac:dyDescent="0.25">
      <c r="A9" s="13" t="s">
        <v>147</v>
      </c>
      <c r="B9" s="6">
        <v>12</v>
      </c>
      <c r="C9" s="6">
        <v>4</v>
      </c>
      <c r="D9" s="6">
        <f>B9-C9</f>
        <v>8</v>
      </c>
      <c r="E9" s="6"/>
      <c r="G9" s="4" t="s">
        <v>141</v>
      </c>
      <c r="H9" s="11" t="s">
        <v>146</v>
      </c>
      <c r="I9" s="11"/>
      <c r="J9" s="11"/>
      <c r="K9" s="11"/>
      <c r="L9" s="11"/>
      <c r="M9" s="11"/>
    </row>
    <row r="10" spans="1:13" x14ac:dyDescent="0.25">
      <c r="A10" s="13" t="s">
        <v>145</v>
      </c>
      <c r="B10" s="6">
        <v>24</v>
      </c>
      <c r="C10" s="6">
        <v>12</v>
      </c>
      <c r="D10" s="6">
        <f>B10-C10</f>
        <v>12</v>
      </c>
      <c r="E10" s="6"/>
      <c r="H10" s="12" t="s">
        <v>144</v>
      </c>
      <c r="I10" s="20" t="s">
        <v>127</v>
      </c>
      <c r="J10" s="21"/>
      <c r="K10" s="21"/>
      <c r="L10" s="21"/>
      <c r="M10" s="22"/>
    </row>
    <row r="11" spans="1:13" x14ac:dyDescent="0.25">
      <c r="H11" s="12" t="s">
        <v>143</v>
      </c>
      <c r="I11" s="20" t="s">
        <v>127</v>
      </c>
      <c r="J11" s="21"/>
      <c r="K11" s="21"/>
      <c r="L11" s="21"/>
      <c r="M11" s="22"/>
    </row>
    <row r="12" spans="1:13" x14ac:dyDescent="0.25">
      <c r="D12" s="6">
        <f>SUM(D3:D10)</f>
        <v>351</v>
      </c>
      <c r="E12" s="6" t="s">
        <v>142</v>
      </c>
      <c r="G12" s="4" t="s">
        <v>141</v>
      </c>
      <c r="H12" s="11" t="s">
        <v>140</v>
      </c>
      <c r="I12" s="9">
        <v>22</v>
      </c>
      <c r="J12" s="9"/>
      <c r="K12" s="9"/>
      <c r="L12" s="9"/>
      <c r="M12" s="9" t="s">
        <v>124</v>
      </c>
    </row>
    <row r="13" spans="1:13" x14ac:dyDescent="0.25">
      <c r="H13" s="12" t="s">
        <v>139</v>
      </c>
      <c r="I13" s="20" t="s">
        <v>127</v>
      </c>
      <c r="J13" s="21"/>
      <c r="K13" s="21"/>
      <c r="L13" s="21"/>
      <c r="M13" s="22"/>
    </row>
    <row r="14" spans="1:13" x14ac:dyDescent="0.25">
      <c r="H14" s="12" t="s">
        <v>138</v>
      </c>
      <c r="I14" s="20" t="s">
        <v>127</v>
      </c>
      <c r="J14" s="21"/>
      <c r="K14" s="21"/>
      <c r="L14" s="21"/>
      <c r="M14" s="22"/>
    </row>
    <row r="15" spans="1:13" x14ac:dyDescent="0.25">
      <c r="A15" s="13" t="s">
        <v>137</v>
      </c>
      <c r="H15" s="12" t="s">
        <v>136</v>
      </c>
      <c r="I15" s="20" t="s">
        <v>127</v>
      </c>
      <c r="J15" s="21"/>
      <c r="K15" s="21"/>
      <c r="L15" s="21"/>
      <c r="M15" s="22"/>
    </row>
    <row r="16" spans="1:13" x14ac:dyDescent="0.25">
      <c r="A16" s="6" t="s">
        <v>135</v>
      </c>
      <c r="B16" s="6" t="s">
        <v>134</v>
      </c>
      <c r="C16" s="6" t="s">
        <v>133</v>
      </c>
      <c r="D16" s="6" t="s">
        <v>132</v>
      </c>
      <c r="E16" s="6" t="s">
        <v>131</v>
      </c>
      <c r="H16" s="11" t="s">
        <v>130</v>
      </c>
      <c r="I16" s="9">
        <v>52</v>
      </c>
      <c r="J16" s="9">
        <v>2</v>
      </c>
      <c r="K16" s="9">
        <v>9</v>
      </c>
      <c r="L16" s="9">
        <v>41</v>
      </c>
      <c r="M16" s="9" t="s">
        <v>124</v>
      </c>
    </row>
    <row r="17" spans="1:13" x14ac:dyDescent="0.25">
      <c r="A17" s="6">
        <v>1</v>
      </c>
      <c r="B17" s="6">
        <v>57</v>
      </c>
      <c r="C17" s="6">
        <v>16</v>
      </c>
      <c r="D17" s="6">
        <f t="shared" ref="D17:D25" si="0">B17-C17</f>
        <v>41</v>
      </c>
      <c r="E17" s="6">
        <v>0</v>
      </c>
      <c r="H17" s="11" t="s">
        <v>129</v>
      </c>
      <c r="I17" s="9"/>
      <c r="J17" s="9">
        <v>27</v>
      </c>
      <c r="K17" s="9">
        <v>30</v>
      </c>
      <c r="L17" s="9">
        <v>0</v>
      </c>
      <c r="M17" s="9" t="s">
        <v>124</v>
      </c>
    </row>
    <row r="18" spans="1:13" x14ac:dyDescent="0.25">
      <c r="A18" s="7">
        <v>2</v>
      </c>
      <c r="B18" s="7">
        <v>23</v>
      </c>
      <c r="C18" s="7">
        <v>19</v>
      </c>
      <c r="D18" s="7">
        <f t="shared" si="0"/>
        <v>4</v>
      </c>
      <c r="E18" s="7">
        <v>4</v>
      </c>
      <c r="H18" s="12" t="s">
        <v>128</v>
      </c>
      <c r="I18" s="20" t="s">
        <v>127</v>
      </c>
      <c r="J18" s="21"/>
      <c r="K18" s="21"/>
      <c r="L18" s="21"/>
      <c r="M18" s="22"/>
    </row>
    <row r="19" spans="1:13" x14ac:dyDescent="0.25">
      <c r="A19" s="7">
        <v>3</v>
      </c>
      <c r="B19" s="7">
        <v>6</v>
      </c>
      <c r="C19" s="7">
        <v>3</v>
      </c>
      <c r="D19" s="7">
        <f t="shared" si="0"/>
        <v>3</v>
      </c>
      <c r="E19" s="6"/>
      <c r="H19" s="11" t="s">
        <v>126</v>
      </c>
      <c r="I19" s="9">
        <v>185</v>
      </c>
      <c r="J19" s="9">
        <v>13</v>
      </c>
      <c r="K19" s="9"/>
      <c r="L19" s="9"/>
      <c r="M19" s="9" t="s">
        <v>124</v>
      </c>
    </row>
    <row r="20" spans="1:13" x14ac:dyDescent="0.25">
      <c r="A20" s="7">
        <v>4</v>
      </c>
      <c r="B20" s="7">
        <v>2</v>
      </c>
      <c r="C20" s="7">
        <v>2</v>
      </c>
      <c r="D20" s="7">
        <f t="shared" si="0"/>
        <v>0</v>
      </c>
      <c r="E20" s="7"/>
      <c r="H20" s="10" t="s">
        <v>125</v>
      </c>
      <c r="I20" s="9">
        <v>20</v>
      </c>
      <c r="J20" s="9">
        <v>0</v>
      </c>
      <c r="K20" s="9">
        <v>0</v>
      </c>
      <c r="L20" s="9">
        <v>20</v>
      </c>
      <c r="M20" s="9" t="s">
        <v>124</v>
      </c>
    </row>
    <row r="21" spans="1:13" x14ac:dyDescent="0.25">
      <c r="A21" s="7">
        <v>5</v>
      </c>
      <c r="B21" s="7">
        <v>9</v>
      </c>
      <c r="C21" s="7">
        <v>9</v>
      </c>
      <c r="D21" s="7">
        <f t="shared" si="0"/>
        <v>0</v>
      </c>
      <c r="E21" s="7"/>
      <c r="I21" s="5"/>
      <c r="J21" s="5"/>
      <c r="K21" s="5"/>
      <c r="L21" s="5"/>
    </row>
    <row r="22" spans="1:13" x14ac:dyDescent="0.25">
      <c r="A22" s="7">
        <v>6</v>
      </c>
      <c r="B22" s="7">
        <v>1</v>
      </c>
      <c r="C22" s="7">
        <v>0</v>
      </c>
      <c r="D22" s="7">
        <f t="shared" si="0"/>
        <v>1</v>
      </c>
      <c r="E22" s="6"/>
      <c r="H22" s="8" t="s">
        <v>123</v>
      </c>
      <c r="I22" s="6">
        <f>SUM(I3:I20)</f>
        <v>453</v>
      </c>
      <c r="J22" s="6">
        <f>SUM(J3:J20)</f>
        <v>137</v>
      </c>
      <c r="K22" s="6">
        <f>SUM(K3:K20)</f>
        <v>39</v>
      </c>
      <c r="L22" s="6">
        <f>SUM(L3:L20)</f>
        <v>128</v>
      </c>
    </row>
    <row r="23" spans="1:13" x14ac:dyDescent="0.25">
      <c r="A23" s="7">
        <v>7</v>
      </c>
      <c r="B23" s="7">
        <v>1</v>
      </c>
      <c r="C23" s="7">
        <v>1</v>
      </c>
      <c r="D23" s="7">
        <f t="shared" si="0"/>
        <v>0</v>
      </c>
      <c r="E23" s="6"/>
    </row>
    <row r="24" spans="1:13" x14ac:dyDescent="0.25">
      <c r="A24" s="7">
        <v>8</v>
      </c>
      <c r="B24" s="7">
        <v>15</v>
      </c>
      <c r="C24" s="7">
        <v>2</v>
      </c>
      <c r="D24" s="7">
        <f t="shared" si="0"/>
        <v>13</v>
      </c>
      <c r="E24" s="6"/>
    </row>
    <row r="25" spans="1:13" x14ac:dyDescent="0.25">
      <c r="A25" s="6">
        <v>9</v>
      </c>
      <c r="B25" s="6">
        <v>48</v>
      </c>
      <c r="C25" s="6">
        <v>43</v>
      </c>
      <c r="D25" s="6">
        <f t="shared" si="0"/>
        <v>5</v>
      </c>
      <c r="E25" s="6"/>
    </row>
    <row r="26" spans="1:13" x14ac:dyDescent="0.25">
      <c r="B26" s="6">
        <f>SUM(B17:B25)</f>
        <v>162</v>
      </c>
      <c r="C26" s="6">
        <f>SUM(C17:C25)</f>
        <v>95</v>
      </c>
      <c r="D26" s="6">
        <f>SUM(D17:D25)</f>
        <v>67</v>
      </c>
      <c r="F26" s="4" t="s">
        <v>122</v>
      </c>
    </row>
  </sheetData>
  <mergeCells count="11">
    <mergeCell ref="I11:M11"/>
    <mergeCell ref="I18:M18"/>
    <mergeCell ref="I15:M15"/>
    <mergeCell ref="H1:M1"/>
    <mergeCell ref="I14:M14"/>
    <mergeCell ref="I3:M3"/>
    <mergeCell ref="I13:M13"/>
    <mergeCell ref="I5:M5"/>
    <mergeCell ref="I6:M6"/>
    <mergeCell ref="I8:M8"/>
    <mergeCell ref="I10:M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OCP Potential</vt:lpstr>
      <vt:lpstr>CD Zones Unused Zoning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Sophia Reder</cp:lastModifiedBy>
  <dcterms:created xsi:type="dcterms:W3CDTF">2024-07-23T16:11:32Z</dcterms:created>
  <dcterms:modified xsi:type="dcterms:W3CDTF">2025-01-02T22:06:16Z</dcterms:modified>
</cp:coreProperties>
</file>