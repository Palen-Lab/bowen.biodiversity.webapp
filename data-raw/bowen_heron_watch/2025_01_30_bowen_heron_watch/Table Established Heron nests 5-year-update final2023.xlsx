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<sst xmlns="http://schemas.openxmlformats.org/spreadsheetml/2006/main" uniqueCount="45">
  <si>
    <t>Bowen Heron Watch: Established Heron Nests*</t>
  </si>
  <si>
    <t>Last updated 27January 2024/SEF</t>
  </si>
  <si>
    <t>Report</t>
  </si>
  <si>
    <t>20 yrs</t>
  </si>
  <si>
    <t>Low data 2018-22</t>
  </si>
  <si>
    <t>Colony Name</t>
  </si>
  <si>
    <t>Nest Site</t>
  </si>
  <si>
    <t>Snug Cove Point</t>
  </si>
  <si>
    <t>365 Cardena St</t>
  </si>
  <si>
    <t>369 Cardena St</t>
  </si>
  <si>
    <t>407 Venture Rd</t>
  </si>
  <si>
    <t>411 Venture Rd</t>
  </si>
  <si>
    <t>412 Venture Rd</t>
  </si>
  <si>
    <t>415 Venture Rd</t>
  </si>
  <si>
    <t>Old General Store</t>
  </si>
  <si>
    <t>Northwest of Library, North side of Bowen Island Trunk Road</t>
  </si>
  <si>
    <t>Senator Rd/Lagoon</t>
  </si>
  <si>
    <t>South of Melmore Road, west of Deep Bay</t>
  </si>
  <si>
    <t>South end of Senator Rd</t>
  </si>
  <si>
    <t>Davies Creek</t>
  </si>
  <si>
    <t>Festival Field south of Dorman Road at Davies Creek</t>
  </si>
  <si>
    <t>Killarney Creek</t>
  </si>
  <si>
    <t>Behind horse ring/conifers?</t>
  </si>
  <si>
    <t>UnknownA</t>
  </si>
  <si>
    <t>Northwest of Miller Road at Terminal Creek, Schoolhouse Trail</t>
  </si>
  <si>
    <t>Galbraith Bay</t>
  </si>
  <si>
    <t>North of Mount Gardner Road</t>
  </si>
  <si>
    <t>Tunstall Bay</t>
  </si>
  <si>
    <t>Hunter Park</t>
  </si>
  <si>
    <t>Sealeigh/Adams Rd.</t>
  </si>
  <si>
    <t>Sealeigh/Eves Rd includes spruce w 3 nests</t>
  </si>
  <si>
    <t>Explosives Creek</t>
  </si>
  <si>
    <t>UnknownTB</t>
  </si>
  <si>
    <t>Bowen Bay</t>
  </si>
  <si>
    <t>UnknownBB (seen 2022)</t>
  </si>
  <si>
    <t>Tot Nests*</t>
  </si>
  <si>
    <t>Fledglings</t>
  </si>
  <si>
    <t>Tot Colonies</t>
  </si>
  <si>
    <t xml:space="preserve">* nests in which incubation of eggs had commenced. Nests abandoned before incubation or used only for courtship are not included. </t>
  </si>
  <si>
    <t>Also check email and photos and notes</t>
  </si>
  <si>
    <t>Data from observed nests and sightings only, and a few Unknowns assumed to produce the observed juveniles.</t>
  </si>
  <si>
    <t>Active Colonies</t>
  </si>
  <si>
    <t>OGS</t>
  </si>
  <si>
    <t>These are conservative figures, and do not account for other sightings of juvs or groups of herons at CRC etc late in summer and fall. Assume “at least”.</t>
  </si>
  <si>
    <t>Tot Active Colonies see Advisories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</si>
</sst>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Verdana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 Narrow"/>
    </font>
    <font>
      <sz val="8"/>
      <color indexed="8"/>
      <name val="Arial Narrow"/>
    </font>
    <font>
      <b val="1"/>
      <sz val="8"/>
      <color indexed="8"/>
      <name val="Arial Narrow"/>
    </font>
    <font>
      <sz val="7"/>
      <color indexed="8"/>
      <name val="Arial Narrow"/>
    </font>
    <font>
      <b val="1"/>
      <sz val="10"/>
      <color indexed="8"/>
      <name val="Arial Narrow"/>
    </font>
    <font>
      <sz val="8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gradientFill type="linear" degree="270">
        <stop position="0">
          <color rgb="ffffd1ba"/>
        </stop>
        <stop position="0.35">
          <color rgb="ffffddce"/>
        </stop>
        <stop position="1">
          <color rgb="fffff2ec"/>
        </stop>
      </gradientFill>
    </fill>
    <fill>
      <gradientFill type="linear" degree="270">
        <stop position="0">
          <color rgb="ffffd1ba"/>
        </stop>
        <stop position="1">
          <color rgb="fffff2ec"/>
        </stop>
      </gradientFill>
    </fill>
  </fills>
  <borders count="43">
    <border>
      <left/>
      <right/>
      <top/>
      <bottom/>
      <diagonal/>
    </border>
    <border>
      <left style="thick">
        <color indexed="10"/>
      </left>
      <right style="thin">
        <color indexed="10"/>
      </right>
      <top style="thick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ck">
        <color indexed="10"/>
      </top>
      <bottom style="thin">
        <color indexed="8"/>
      </bottom>
      <diagonal/>
    </border>
    <border>
      <left style="thin">
        <color indexed="8"/>
      </left>
      <right>
        <color indexed="8"/>
      </right>
      <top style="thick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0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10"/>
      </right>
      <top style="thick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10"/>
      </right>
      <top style="thick">
        <color indexed="10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10"/>
      </right>
      <top style="thin">
        <color indexed="8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thin">
        <color indexed="8"/>
      </top>
      <bottom style="medium">
        <color indexed="10"/>
      </bottom>
      <diagonal/>
    </border>
    <border>
      <left style="medium">
        <color indexed="10"/>
      </left>
      <right style="thin">
        <color indexed="8"/>
      </right>
      <top style="thin">
        <color indexed="8"/>
      </top>
      <bottom style="medium">
        <color indexed="10"/>
      </bottom>
      <diagonal/>
    </border>
    <border>
      <left style="thin">
        <color indexed="8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n">
        <color indexed="8"/>
      </right>
      <top style="medium">
        <color indexed="10"/>
      </top>
      <bottom style="medium">
        <color indexed="10"/>
      </bottom>
      <diagonal/>
    </border>
    <border>
      <left style="thick">
        <color indexed="10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medium">
        <color indexed="10"/>
      </right>
      <top style="medium">
        <color indexed="10"/>
      </top>
      <bottom style="thin">
        <color indexed="8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n">
        <color indexed="8"/>
      </bottom>
      <diagonal/>
    </border>
    <border>
      <left style="medium">
        <color indexed="10"/>
      </left>
      <right style="thin">
        <color indexed="8"/>
      </right>
      <top style="medium">
        <color indexed="10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ck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ck">
        <color indexed="10"/>
      </left>
      <right style="thin">
        <color indexed="10"/>
      </right>
      <top style="thin">
        <color indexed="10"/>
      </top>
      <bottom style="thick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ck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ck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10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10"/>
      </top>
      <bottom style="thick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fillId="2" borderId="2" applyNumberFormat="0" applyFont="1" applyFill="1" applyBorder="1" applyAlignment="1" applyProtection="0">
      <alignment vertical="center"/>
    </xf>
    <xf numFmtId="0" fontId="3" borderId="2" applyNumberFormat="0" applyFont="1" applyFill="0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3" fillId="2" borderId="5" applyNumberFormat="0" applyFont="1" applyFill="1" applyBorder="1" applyAlignment="1" applyProtection="0">
      <alignment horizontal="center" vertical="center"/>
    </xf>
    <xf numFmtId="49" fontId="3" fillId="2" borderId="6" applyNumberFormat="1" applyFont="1" applyFill="1" applyBorder="1" applyAlignment="1" applyProtection="0">
      <alignment horizontal="center" vertical="center"/>
    </xf>
    <xf numFmtId="0" fontId="3" fillId="2" borderId="7" applyNumberFormat="0" applyFont="1" applyFill="1" applyBorder="1" applyAlignment="1" applyProtection="0">
      <alignment horizontal="center" vertical="center"/>
    </xf>
    <xf numFmtId="0" fontId="3" fillId="2" borderId="8" applyNumberFormat="0" applyFont="1" applyFill="1" applyBorder="1" applyAlignment="1" applyProtection="0">
      <alignment horizontal="center" vertical="center"/>
    </xf>
    <xf numFmtId="0" fontId="0" borderId="9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horizontal="left" vertical="center"/>
    </xf>
    <xf numFmtId="49" fontId="6" fillId="2" borderId="6" applyNumberFormat="1" applyFont="1" applyFill="1" applyBorder="1" applyAlignment="1" applyProtection="0">
      <alignment horizontal="left" vertical="center"/>
    </xf>
    <xf numFmtId="0" fontId="7" borderId="6" applyNumberFormat="1" applyFont="1" applyFill="0" applyBorder="1" applyAlignment="1" applyProtection="0">
      <alignment horizontal="center" vertical="center"/>
    </xf>
    <xf numFmtId="0" fontId="7" fillId="2" borderId="6" applyNumberFormat="1" applyFont="1" applyFill="1" applyBorder="1" applyAlignment="1" applyProtection="0">
      <alignment horizontal="center" vertical="center"/>
    </xf>
    <xf numFmtId="0" fontId="7" borderId="6" applyNumberFormat="0" applyFont="1" applyFill="0" applyBorder="1" applyAlignment="1" applyProtection="0">
      <alignment horizontal="center" vertical="center"/>
    </xf>
    <xf numFmtId="0" fontId="7" borderId="12" applyNumberFormat="0" applyFont="1" applyFill="0" applyBorder="1" applyAlignment="1" applyProtection="0">
      <alignment horizontal="center" vertical="center"/>
    </xf>
    <xf numFmtId="0" fontId="0" borderId="13" applyNumberFormat="0" applyFont="1" applyFill="0" applyBorder="1" applyAlignment="1" applyProtection="0">
      <alignment vertical="bottom"/>
    </xf>
    <xf numFmtId="49" fontId="4" fillId="2" borderId="6" applyNumberFormat="1" applyFont="1" applyFill="1" applyBorder="1" applyAlignment="1" applyProtection="0">
      <alignment horizontal="left" vertical="center"/>
    </xf>
    <xf numFmtId="49" fontId="6" fillId="2" borderId="6" applyNumberFormat="1" applyFont="1" applyFill="1" applyBorder="1" applyAlignment="1" applyProtection="0">
      <alignment horizontal="left" vertical="center" wrapText="1"/>
    </xf>
    <xf numFmtId="0" fontId="3" borderId="6" applyNumberFormat="0" applyFont="1" applyFill="0" applyBorder="1" applyAlignment="1" applyProtection="0">
      <alignment horizontal="center" vertical="center"/>
    </xf>
    <xf numFmtId="0" fontId="3" fillId="2" borderId="6" applyNumberFormat="0" applyFont="1" applyFill="1" applyBorder="1" applyAlignment="1" applyProtection="0">
      <alignment horizontal="center" vertical="center"/>
    </xf>
    <xf numFmtId="0" fontId="3" borderId="6" applyNumberFormat="1" applyFont="1" applyFill="0" applyBorder="1" applyAlignment="1" applyProtection="0">
      <alignment horizontal="center" vertical="center"/>
    </xf>
    <xf numFmtId="0" fontId="3" borderId="12" applyNumberFormat="0" applyFont="1" applyFill="0" applyBorder="1" applyAlignment="1" applyProtection="0">
      <alignment horizontal="center" vertical="center"/>
    </xf>
    <xf numFmtId="0" fontId="3" fillId="2" borderId="6" applyNumberFormat="1" applyFont="1" applyFill="1" applyBorder="1" applyAlignment="1" applyProtection="0">
      <alignment horizontal="center" vertical="center"/>
    </xf>
    <xf numFmtId="49" fontId="4" fillId="3" borderId="6" applyNumberFormat="1" applyFont="1" applyFill="1" applyBorder="1" applyAlignment="1" applyProtection="0">
      <alignment horizontal="left" vertical="center"/>
    </xf>
    <xf numFmtId="49" fontId="6" fillId="3" borderId="6" applyNumberFormat="1" applyFont="1" applyFill="1" applyBorder="1" applyAlignment="1" applyProtection="0">
      <alignment horizontal="left" vertical="center" wrapText="1"/>
    </xf>
    <xf numFmtId="0" fontId="3" fillId="3" borderId="6" applyNumberFormat="1" applyFont="1" applyFill="1" applyBorder="1" applyAlignment="1" applyProtection="0">
      <alignment horizontal="center" vertical="center"/>
    </xf>
    <xf numFmtId="0" fontId="3" fillId="3" borderId="6" applyNumberFormat="0" applyFont="1" applyFill="1" applyBorder="1" applyAlignment="1" applyProtection="0">
      <alignment horizontal="center" vertical="center"/>
    </xf>
    <xf numFmtId="0" fontId="3" fillId="3" borderId="12" applyNumberFormat="0" applyFont="1" applyFill="1" applyBorder="1" applyAlignment="1" applyProtection="0">
      <alignment horizontal="center" vertical="center"/>
    </xf>
    <xf numFmtId="49" fontId="4" fillId="4" borderId="6" applyNumberFormat="1" applyFont="1" applyFill="1" applyBorder="1" applyAlignment="1" applyProtection="0">
      <alignment horizontal="left" vertical="center"/>
    </xf>
    <xf numFmtId="49" fontId="6" fillId="4" borderId="6" applyNumberFormat="1" applyFont="1" applyFill="1" applyBorder="1" applyAlignment="1" applyProtection="0">
      <alignment horizontal="left" vertical="center" wrapText="1"/>
    </xf>
    <xf numFmtId="0" fontId="3" fillId="4" borderId="6" applyNumberFormat="0" applyFont="1" applyFill="1" applyBorder="1" applyAlignment="1" applyProtection="0">
      <alignment horizontal="center" vertical="center"/>
    </xf>
    <xf numFmtId="0" fontId="3" fillId="4" borderId="6" applyNumberFormat="1" applyFont="1" applyFill="1" applyBorder="1" applyAlignment="1" applyProtection="0">
      <alignment horizontal="center" vertical="center"/>
    </xf>
    <xf numFmtId="0" fontId="3" fillId="4" borderId="12" applyNumberFormat="0" applyFont="1" applyFill="1" applyBorder="1" applyAlignment="1" applyProtection="0">
      <alignment horizontal="center" vertical="center"/>
    </xf>
    <xf numFmtId="0" fontId="3" borderId="14" applyNumberFormat="0" applyFont="1" applyFill="0" applyBorder="1" applyAlignment="1" applyProtection="0">
      <alignment horizontal="center" vertical="center"/>
    </xf>
    <xf numFmtId="0" fontId="3" borderId="15" applyNumberFormat="0" applyFont="1" applyFill="0" applyBorder="1" applyAlignment="1" applyProtection="0">
      <alignment horizontal="center" vertical="center"/>
    </xf>
    <xf numFmtId="0" fontId="3" borderId="16" applyNumberFormat="0" applyFont="1" applyFill="0" applyBorder="1" applyAlignment="1" applyProtection="0">
      <alignment horizontal="center" vertical="center"/>
    </xf>
    <xf numFmtId="0" fontId="3" borderId="17" applyNumberFormat="0" applyFont="1" applyFill="0" applyBorder="1" applyAlignment="1" applyProtection="0">
      <alignment horizontal="center" vertical="center"/>
    </xf>
    <xf numFmtId="0" fontId="3" borderId="18" applyNumberFormat="0" applyFont="1" applyFill="0" applyBorder="1" applyAlignment="1" applyProtection="0">
      <alignment horizontal="center" vertical="center"/>
    </xf>
    <xf numFmtId="0" fontId="3" borderId="19" applyNumberFormat="0" applyFont="1" applyFill="0" applyBorder="1" applyAlignment="1" applyProtection="0">
      <alignment horizontal="center" vertical="center"/>
    </xf>
    <xf numFmtId="49" fontId="4" fillId="3" borderId="20" applyNumberFormat="1" applyFont="1" applyFill="1" applyBorder="1" applyAlignment="1" applyProtection="0">
      <alignment horizontal="left" vertical="center"/>
    </xf>
    <xf numFmtId="49" fontId="6" fillId="3" borderId="21" applyNumberFormat="1" applyFont="1" applyFill="1" applyBorder="1" applyAlignment="1" applyProtection="0">
      <alignment horizontal="left" vertical="center" wrapText="1"/>
    </xf>
    <xf numFmtId="0" fontId="3" fillId="3" borderId="22" applyNumberFormat="0" applyFont="1" applyFill="1" applyBorder="1" applyAlignment="1" applyProtection="0">
      <alignment horizontal="center" vertical="center"/>
    </xf>
    <xf numFmtId="0" fontId="3" fillId="3" borderId="23" applyNumberFormat="0" applyFont="1" applyFill="1" applyBorder="1" applyAlignment="1" applyProtection="0">
      <alignment horizontal="center" vertical="center"/>
    </xf>
    <xf numFmtId="0" fontId="3" fillId="3" borderId="24" applyNumberFormat="0" applyFont="1" applyFill="1" applyBorder="1" applyAlignment="1" applyProtection="0">
      <alignment horizontal="center" vertical="center"/>
    </xf>
    <xf numFmtId="0" fontId="3" fillId="3" borderId="21" applyNumberFormat="0" applyFont="1" applyFill="1" applyBorder="1" applyAlignment="1" applyProtection="0">
      <alignment horizontal="center" vertical="center"/>
    </xf>
    <xf numFmtId="0" fontId="3" fillId="3" borderId="21" applyNumberFormat="1" applyFont="1" applyFill="1" applyBorder="1" applyAlignment="1" applyProtection="0">
      <alignment horizontal="center" vertical="center"/>
    </xf>
    <xf numFmtId="0" fontId="3" fillId="3" borderId="25" applyNumberFormat="0" applyFont="1" applyFill="1" applyBorder="1" applyAlignment="1" applyProtection="0">
      <alignment horizontal="center" vertical="center"/>
    </xf>
    <xf numFmtId="0" fontId="7" borderId="26" applyNumberFormat="0" applyFont="1" applyFill="0" applyBorder="1" applyAlignment="1" applyProtection="0">
      <alignment horizontal="left" vertical="center"/>
    </xf>
    <xf numFmtId="49" fontId="7" borderId="26" applyNumberFormat="1" applyFont="1" applyFill="0" applyBorder="1" applyAlignment="1" applyProtection="0">
      <alignment horizontal="left" vertical="center"/>
    </xf>
    <xf numFmtId="0" fontId="7" borderId="26" applyNumberFormat="1" applyFont="1" applyFill="0" applyBorder="1" applyAlignment="1" applyProtection="0">
      <alignment horizontal="center" vertical="center"/>
    </xf>
    <xf numFmtId="0" fontId="0" borderId="27" applyNumberFormat="0" applyFont="1" applyFill="0" applyBorder="1" applyAlignment="1" applyProtection="0">
      <alignment vertical="bottom"/>
    </xf>
    <xf numFmtId="0" fontId="3" fillId="2" borderId="6" applyNumberFormat="0" applyFont="1" applyFill="1" applyBorder="1" applyAlignment="1" applyProtection="0">
      <alignment horizontal="left" vertical="center"/>
    </xf>
    <xf numFmtId="49" fontId="3" fillId="2" borderId="6" applyNumberFormat="1" applyFont="1" applyFill="1" applyBorder="1" applyAlignment="1" applyProtection="0">
      <alignment horizontal="left" vertical="center"/>
    </xf>
    <xf numFmtId="0" fontId="3" fillId="2" borderId="28" applyNumberFormat="0" applyFont="1" applyFill="1" applyBorder="1" applyAlignment="1" applyProtection="0">
      <alignment horizontal="left" vertical="center"/>
    </xf>
    <xf numFmtId="49" fontId="3" fillId="2" borderId="29" applyNumberFormat="1" applyFont="1" applyFill="1" applyBorder="1" applyAlignment="1" applyProtection="0">
      <alignment horizontal="left" vertical="center"/>
    </xf>
    <xf numFmtId="0" fontId="3" borderId="29" applyNumberFormat="1" applyFont="1" applyFill="0" applyBorder="1" applyAlignment="1" applyProtection="0">
      <alignment horizontal="center" vertical="center"/>
    </xf>
    <xf numFmtId="0" fontId="3" fillId="2" borderId="29" applyNumberFormat="1" applyFont="1" applyFill="1" applyBorder="1" applyAlignment="1" applyProtection="0">
      <alignment horizontal="center" vertical="center"/>
    </xf>
    <xf numFmtId="0" fontId="3" fillId="2" borderId="30" applyNumberFormat="1" applyFont="1" applyFill="1" applyBorder="1" applyAlignment="1" applyProtection="0">
      <alignment horizontal="center" vertical="center"/>
    </xf>
    <xf numFmtId="0" fontId="4" fillId="2" borderId="31" applyNumberFormat="0" applyFont="1" applyFill="1" applyBorder="1" applyAlignment="1" applyProtection="0">
      <alignment horizontal="left" vertical="center"/>
    </xf>
    <xf numFmtId="49" fontId="4" fillId="2" borderId="32" applyNumberFormat="1" applyFont="1" applyFill="1" applyBorder="1" applyAlignment="1" applyProtection="0">
      <alignment horizontal="left" vertical="center"/>
    </xf>
    <xf numFmtId="0" fontId="4" borderId="33" applyNumberFormat="0" applyFont="1" applyFill="0" applyBorder="1" applyAlignment="1" applyProtection="0">
      <alignment horizontal="center" vertical="center"/>
    </xf>
    <xf numFmtId="0" fontId="4" borderId="32" applyNumberFormat="0" applyFont="1" applyFill="0" applyBorder="1" applyAlignment="1" applyProtection="0">
      <alignment horizontal="center" vertical="center"/>
    </xf>
    <xf numFmtId="0" fontId="4" fillId="2" borderId="32" applyNumberFormat="0" applyFont="1" applyFill="1" applyBorder="1" applyAlignment="1" applyProtection="0">
      <alignment horizontal="center" vertical="center"/>
    </xf>
    <xf numFmtId="0" fontId="4" borderId="34" applyNumberFormat="0" applyFont="1" applyFill="0" applyBorder="1" applyAlignment="1" applyProtection="0">
      <alignment horizontal="center" vertical="center"/>
    </xf>
    <xf numFmtId="0" fontId="4" borderId="6" applyNumberFormat="0" applyFont="1" applyFill="0" applyBorder="1" applyAlignment="1" applyProtection="0">
      <alignment horizontal="center" vertical="center"/>
    </xf>
    <xf numFmtId="49" fontId="4" borderId="6" applyNumberFormat="1" applyFont="1" applyFill="0" applyBorder="1" applyAlignment="1" applyProtection="0">
      <alignment horizontal="center" vertical="center"/>
    </xf>
    <xf numFmtId="0" fontId="4" borderId="21" applyNumberFormat="0" applyFont="1" applyFill="0" applyBorder="1" applyAlignment="1" applyProtection="0">
      <alignment horizontal="center" vertical="center"/>
    </xf>
    <xf numFmtId="0" fontId="4" borderId="12" applyNumberFormat="0" applyFont="1" applyFill="0" applyBorder="1" applyAlignment="1" applyProtection="0">
      <alignment horizontal="center" vertical="center"/>
    </xf>
    <xf numFmtId="49" fontId="8" fillId="2" borderId="35" applyNumberFormat="1" applyFont="1" applyFill="1" applyBorder="1" applyAlignment="1" applyProtection="0">
      <alignment vertical="center"/>
    </xf>
    <xf numFmtId="0" fontId="4" fillId="2" borderId="36" applyNumberFormat="0" applyFont="1" applyFill="1" applyBorder="1" applyAlignment="1" applyProtection="0">
      <alignment horizontal="center" vertical="center"/>
    </xf>
    <xf numFmtId="49" fontId="4" fillId="2" borderId="35" applyNumberFormat="1" applyFont="1" applyFill="1" applyBorder="1" applyAlignment="1" applyProtection="0">
      <alignment horizontal="center" vertical="center"/>
    </xf>
    <xf numFmtId="49" fontId="4" fillId="2" borderId="6" applyNumberFormat="1" applyFont="1" applyFill="1" applyBorder="1" applyAlignment="1" applyProtection="0">
      <alignment horizontal="center" vertical="center"/>
    </xf>
    <xf numFmtId="0" fontId="4" fillId="2" borderId="6" applyNumberFormat="0" applyFont="1" applyFill="1" applyBorder="1" applyAlignment="1" applyProtection="0">
      <alignment horizontal="center" vertical="center"/>
    </xf>
    <xf numFmtId="49" fontId="4" fillId="2" borderId="26" applyNumberFormat="1" applyFont="1" applyFill="1" applyBorder="1" applyAlignment="1" applyProtection="0">
      <alignment horizontal="center" vertical="center"/>
    </xf>
    <xf numFmtId="0" fontId="4" fillId="2" borderId="12" applyNumberFormat="0" applyFont="1" applyFill="1" applyBorder="1" applyAlignment="1" applyProtection="0">
      <alignment horizontal="center" vertical="center"/>
    </xf>
    <xf numFmtId="0" fontId="4" fillId="2" borderId="37" applyNumberFormat="0" applyFont="1" applyFill="1" applyBorder="1" applyAlignment="1" applyProtection="0">
      <alignment horizontal="left" vertical="center"/>
    </xf>
    <xf numFmtId="49" fontId="4" fillId="2" borderId="38" applyNumberFormat="1" applyFont="1" applyFill="1" applyBorder="1" applyAlignment="1" applyProtection="0">
      <alignment horizontal="left" vertical="center"/>
    </xf>
    <xf numFmtId="0" fontId="4" fillId="2" borderId="39" applyNumberFormat="0" applyFont="1" applyFill="1" applyBorder="1" applyAlignment="1" applyProtection="0">
      <alignment horizontal="center" vertical="center"/>
    </xf>
    <xf numFmtId="0" fontId="4" fillId="2" borderId="40" applyNumberFormat="0" applyFont="1" applyFill="1" applyBorder="1" applyAlignment="1" applyProtection="0">
      <alignment horizontal="center" vertical="center"/>
    </xf>
    <xf numFmtId="0" fontId="4" fillId="2" borderId="38" applyNumberFormat="0" applyFont="1" applyFill="1" applyBorder="1" applyAlignment="1" applyProtection="0">
      <alignment horizontal="center" vertical="center"/>
    </xf>
    <xf numFmtId="49" fontId="4" fillId="2" borderId="21" applyNumberFormat="1" applyFont="1" applyFill="1" applyBorder="1" applyAlignment="1" applyProtection="0">
      <alignment horizontal="center" vertical="center"/>
    </xf>
    <xf numFmtId="0" fontId="4" fillId="2" borderId="21" applyNumberFormat="1" applyFont="1" applyFill="1" applyBorder="1" applyAlignment="1" applyProtection="0">
      <alignment horizontal="center" vertical="center"/>
    </xf>
    <xf numFmtId="0" fontId="4" fillId="2" borderId="25" applyNumberFormat="1" applyFont="1" applyFill="1" applyBorder="1" applyAlignment="1" applyProtection="0">
      <alignment horizontal="center" vertical="center"/>
    </xf>
    <xf numFmtId="0" fontId="4" fillId="2" borderId="41" applyNumberFormat="1" applyFont="1" applyFill="1" applyBorder="1" applyAlignment="1" applyProtection="0">
      <alignment horizontal="center" vertical="center"/>
    </xf>
    <xf numFmtId="0" fontId="4" fillId="2" borderId="21" applyNumberFormat="0" applyFont="1" applyFill="1" applyBorder="1" applyAlignment="1" applyProtection="0">
      <alignment horizontal="center" vertical="center"/>
    </xf>
    <xf numFmtId="0" fontId="4" fillId="2" borderId="25" applyNumberFormat="0" applyFont="1" applyFill="1" applyBorder="1" applyAlignment="1" applyProtection="0">
      <alignment horizontal="center" vertical="center"/>
    </xf>
    <xf numFmtId="0" fontId="0" borderId="4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M28"/>
  <sheetViews>
    <sheetView workbookViewId="0" showGridLines="0" defaultGridColor="1"/>
  </sheetViews>
  <sheetFormatPr defaultColWidth="10.8333" defaultRowHeight="16" customHeight="1" outlineLevelRow="0" outlineLevelCol="0"/>
  <cols>
    <col min="1" max="1" width="8.92969" style="1" customWidth="1"/>
    <col min="2" max="2" width="7.28125" style="1" customWidth="1"/>
    <col min="3" max="27" width="3.5" style="1" customWidth="1"/>
    <col min="28" max="34" width="4" style="1" customWidth="1"/>
    <col min="35" max="35" width="3.5" style="1" customWidth="1"/>
    <col min="36" max="36" width="4" style="1" customWidth="1"/>
    <col min="37" max="37" width="3.67188" style="1" customWidth="1"/>
    <col min="38" max="38" width="4" style="1" customWidth="1"/>
    <col min="39" max="39" width="9.35156" style="1" customWidth="1"/>
    <col min="40" max="16384" width="10.8516" style="1" customWidth="1"/>
  </cols>
  <sheetData>
    <row r="1" ht="16.55" customHeight="1">
      <c r="A1" t="s" s="2">
        <v>0</v>
      </c>
      <c r="B1" s="3"/>
      <c r="C1" s="4"/>
      <c r="D1" s="4"/>
      <c r="E1" s="4"/>
      <c r="F1" s="4"/>
      <c r="G1" s="4"/>
      <c r="H1" s="5"/>
      <c r="I1" s="5"/>
      <c r="J1" s="5"/>
      <c r="K1" s="5"/>
      <c r="L1" t="s" s="6">
        <v>1</v>
      </c>
      <c r="M1" s="5"/>
      <c r="N1" s="5"/>
      <c r="O1" s="5"/>
      <c r="P1" s="5"/>
      <c r="Q1" s="5"/>
      <c r="R1" s="5"/>
      <c r="S1" s="5"/>
      <c r="T1" s="5"/>
      <c r="U1" t="s" s="7">
        <v>2</v>
      </c>
      <c r="V1" t="s" s="8">
        <v>3</v>
      </c>
      <c r="W1" s="9"/>
      <c r="X1" s="10"/>
      <c r="Y1" t="s" s="11">
        <v>4</v>
      </c>
      <c r="Z1" s="12"/>
      <c r="AA1" s="13"/>
      <c r="AB1" s="14"/>
      <c r="AC1" s="15"/>
      <c r="AD1" s="15"/>
      <c r="AE1" s="15"/>
      <c r="AF1" s="15"/>
      <c r="AG1" s="16"/>
      <c r="AH1" s="15"/>
      <c r="AI1" s="15"/>
      <c r="AJ1" s="15"/>
      <c r="AK1" s="15"/>
      <c r="AL1" s="15"/>
      <c r="AM1" s="17"/>
    </row>
    <row r="2" ht="16.55" customHeight="1">
      <c r="A2" t="s" s="18">
        <v>5</v>
      </c>
      <c r="B2" t="s" s="19">
        <v>6</v>
      </c>
      <c r="C2" s="20">
        <v>1998</v>
      </c>
      <c r="D2" s="20">
        <v>1999</v>
      </c>
      <c r="E2" s="20">
        <v>2000</v>
      </c>
      <c r="F2" s="20">
        <v>2001</v>
      </c>
      <c r="G2" s="20">
        <v>2002</v>
      </c>
      <c r="H2" s="20">
        <v>2003</v>
      </c>
      <c r="I2" s="20">
        <v>2004</v>
      </c>
      <c r="J2" s="20">
        <v>2005</v>
      </c>
      <c r="K2" s="20">
        <v>2006</v>
      </c>
      <c r="L2" s="20">
        <v>2007</v>
      </c>
      <c r="M2" s="20">
        <v>2008</v>
      </c>
      <c r="N2" s="20">
        <v>2009</v>
      </c>
      <c r="O2" s="20">
        <v>2010</v>
      </c>
      <c r="P2" s="20">
        <v>2011</v>
      </c>
      <c r="Q2" s="20">
        <v>2012</v>
      </c>
      <c r="R2" s="20">
        <v>2013</v>
      </c>
      <c r="S2" s="20">
        <v>2014</v>
      </c>
      <c r="T2" s="21">
        <v>2015</v>
      </c>
      <c r="U2" s="21">
        <v>2016</v>
      </c>
      <c r="V2" s="21">
        <v>2017</v>
      </c>
      <c r="W2" s="20">
        <v>2018</v>
      </c>
      <c r="X2" s="20">
        <v>2019</v>
      </c>
      <c r="Y2" s="20">
        <v>2020</v>
      </c>
      <c r="Z2" s="20">
        <v>2021</v>
      </c>
      <c r="AA2" s="20">
        <v>2022</v>
      </c>
      <c r="AB2" s="20">
        <v>2023</v>
      </c>
      <c r="AC2" s="22"/>
      <c r="AD2" s="22"/>
      <c r="AE2" s="22"/>
      <c r="AF2" s="23"/>
      <c r="AG2" s="24"/>
      <c r="AH2" s="22"/>
      <c r="AI2" s="22"/>
      <c r="AJ2" s="22"/>
      <c r="AK2" s="22"/>
      <c r="AL2" s="22"/>
      <c r="AM2" s="23"/>
    </row>
    <row r="3" ht="16.55" customHeight="1">
      <c r="A3" t="s" s="25">
        <v>7</v>
      </c>
      <c r="B3" t="s" s="26">
        <v>8</v>
      </c>
      <c r="C3" s="27"/>
      <c r="D3" s="27"/>
      <c r="E3" s="27"/>
      <c r="F3" s="27"/>
      <c r="G3" s="27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7"/>
      <c r="X3" s="29">
        <v>1</v>
      </c>
      <c r="Y3" s="27"/>
      <c r="Z3" s="27"/>
      <c r="AA3" s="27"/>
      <c r="AB3" s="27"/>
      <c r="AC3" s="27"/>
      <c r="AD3" s="27"/>
      <c r="AE3" s="27"/>
      <c r="AF3" s="30"/>
      <c r="AG3" s="24"/>
      <c r="AH3" s="27"/>
      <c r="AI3" s="27"/>
      <c r="AJ3" s="27"/>
      <c r="AK3" s="27"/>
      <c r="AL3" s="27"/>
      <c r="AM3" s="30"/>
    </row>
    <row r="4" ht="16.55" customHeight="1">
      <c r="A4" t="s" s="25">
        <v>7</v>
      </c>
      <c r="B4" t="s" s="26">
        <v>9</v>
      </c>
      <c r="C4" s="27"/>
      <c r="D4" s="27"/>
      <c r="E4" s="27"/>
      <c r="F4" s="27"/>
      <c r="G4" s="29">
        <v>2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27"/>
      <c r="Y4" s="27"/>
      <c r="Z4" s="27"/>
      <c r="AA4" s="27"/>
      <c r="AB4" s="27"/>
      <c r="AC4" s="27"/>
      <c r="AD4" s="27"/>
      <c r="AE4" s="27"/>
      <c r="AF4" s="30"/>
      <c r="AG4" s="24"/>
      <c r="AH4" s="27"/>
      <c r="AI4" s="27"/>
      <c r="AJ4" s="27"/>
      <c r="AK4" s="27"/>
      <c r="AL4" s="27"/>
      <c r="AM4" s="30"/>
    </row>
    <row r="5" ht="16.55" customHeight="1">
      <c r="A5" t="s" s="25">
        <v>7</v>
      </c>
      <c r="B5" t="s" s="26">
        <v>10</v>
      </c>
      <c r="C5" s="27"/>
      <c r="D5" s="27"/>
      <c r="E5" s="27"/>
      <c r="F5" s="27"/>
      <c r="G5" s="27"/>
      <c r="H5" s="31">
        <v>1</v>
      </c>
      <c r="I5" s="31">
        <v>1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7"/>
      <c r="X5" s="27"/>
      <c r="Y5" s="27"/>
      <c r="Z5" s="27"/>
      <c r="AA5" s="27"/>
      <c r="AB5" s="27"/>
      <c r="AC5" s="27"/>
      <c r="AD5" s="27"/>
      <c r="AE5" s="27"/>
      <c r="AF5" s="30"/>
      <c r="AG5" s="24"/>
      <c r="AH5" s="27"/>
      <c r="AI5" s="27"/>
      <c r="AJ5" s="27"/>
      <c r="AK5" s="27"/>
      <c r="AL5" s="27"/>
      <c r="AM5" s="30"/>
    </row>
    <row r="6" ht="16.55" customHeight="1">
      <c r="A6" t="s" s="25">
        <v>7</v>
      </c>
      <c r="B6" t="s" s="26">
        <v>11</v>
      </c>
      <c r="C6" s="27"/>
      <c r="D6" s="29">
        <v>1</v>
      </c>
      <c r="E6" s="29">
        <v>2</v>
      </c>
      <c r="F6" s="29">
        <v>2</v>
      </c>
      <c r="G6" s="29">
        <v>1</v>
      </c>
      <c r="H6" s="28"/>
      <c r="I6" s="28"/>
      <c r="J6" s="31">
        <v>1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7"/>
      <c r="X6" s="27"/>
      <c r="Y6" s="27"/>
      <c r="Z6" s="27"/>
      <c r="AA6" s="27"/>
      <c r="AB6" s="27"/>
      <c r="AC6" s="27"/>
      <c r="AD6" s="27"/>
      <c r="AE6" s="27"/>
      <c r="AF6" s="30"/>
      <c r="AG6" s="24"/>
      <c r="AH6" s="27"/>
      <c r="AI6" s="27"/>
      <c r="AJ6" s="27"/>
      <c r="AK6" s="27"/>
      <c r="AL6" s="27"/>
      <c r="AM6" s="30"/>
    </row>
    <row r="7" ht="16.55" customHeight="1">
      <c r="A7" t="s" s="25">
        <v>7</v>
      </c>
      <c r="B7" t="s" s="26">
        <v>12</v>
      </c>
      <c r="C7" s="27"/>
      <c r="D7" s="27"/>
      <c r="E7" s="27"/>
      <c r="F7" s="27"/>
      <c r="G7" s="27"/>
      <c r="H7" s="28"/>
      <c r="I7" s="28"/>
      <c r="J7" s="28"/>
      <c r="K7" s="28"/>
      <c r="L7" s="28"/>
      <c r="M7" s="28"/>
      <c r="N7" s="31">
        <v>1</v>
      </c>
      <c r="O7" s="28"/>
      <c r="P7" s="28"/>
      <c r="Q7" s="28"/>
      <c r="R7" s="28"/>
      <c r="S7" s="31">
        <v>1</v>
      </c>
      <c r="T7" s="28"/>
      <c r="U7" s="28"/>
      <c r="V7" s="28"/>
      <c r="W7" s="27"/>
      <c r="X7" s="27"/>
      <c r="Y7" s="27"/>
      <c r="Z7" s="27"/>
      <c r="AA7" s="27"/>
      <c r="AB7" s="27"/>
      <c r="AC7" s="27"/>
      <c r="AD7" s="27"/>
      <c r="AE7" s="27"/>
      <c r="AF7" s="30"/>
      <c r="AG7" s="24"/>
      <c r="AH7" s="27"/>
      <c r="AI7" s="27"/>
      <c r="AJ7" s="27"/>
      <c r="AK7" s="27"/>
      <c r="AL7" s="27"/>
      <c r="AM7" s="30"/>
    </row>
    <row r="8" ht="16.55" customHeight="1">
      <c r="A8" t="s" s="25">
        <v>7</v>
      </c>
      <c r="B8" t="s" s="26">
        <v>13</v>
      </c>
      <c r="C8" s="27"/>
      <c r="D8" s="27"/>
      <c r="E8" s="27"/>
      <c r="F8" s="27"/>
      <c r="G8" s="27"/>
      <c r="H8" s="28"/>
      <c r="I8" s="31">
        <v>1</v>
      </c>
      <c r="J8" s="31">
        <v>6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7"/>
      <c r="X8" s="27"/>
      <c r="Y8" s="27"/>
      <c r="Z8" s="27"/>
      <c r="AA8" s="27"/>
      <c r="AB8" s="27"/>
      <c r="AC8" s="27"/>
      <c r="AD8" s="27"/>
      <c r="AE8" s="27"/>
      <c r="AF8" s="30"/>
      <c r="AG8" s="24"/>
      <c r="AH8" s="27"/>
      <c r="AI8" s="27"/>
      <c r="AJ8" s="27"/>
      <c r="AK8" s="27"/>
      <c r="AL8" s="27"/>
      <c r="AM8" s="30"/>
    </row>
    <row r="9" ht="16.55" customHeight="1">
      <c r="A9" t="s" s="32">
        <v>14</v>
      </c>
      <c r="B9" t="s" s="33">
        <v>15</v>
      </c>
      <c r="C9" s="34">
        <v>2</v>
      </c>
      <c r="D9" s="34">
        <v>2</v>
      </c>
      <c r="E9" s="34">
        <v>5</v>
      </c>
      <c r="F9" s="34">
        <v>8</v>
      </c>
      <c r="G9" s="35"/>
      <c r="H9" s="34">
        <v>6</v>
      </c>
      <c r="I9" s="35"/>
      <c r="J9" s="35"/>
      <c r="K9" s="34">
        <v>1</v>
      </c>
      <c r="L9" s="34">
        <v>5</v>
      </c>
      <c r="M9" s="34">
        <v>8</v>
      </c>
      <c r="N9" s="34">
        <v>1</v>
      </c>
      <c r="O9" s="34">
        <v>2</v>
      </c>
      <c r="P9" s="34">
        <v>3</v>
      </c>
      <c r="Q9" s="35"/>
      <c r="R9" s="34">
        <v>2</v>
      </c>
      <c r="S9" s="34">
        <v>1</v>
      </c>
      <c r="T9" s="35"/>
      <c r="U9" s="34">
        <v>1</v>
      </c>
      <c r="V9" s="35"/>
      <c r="W9" s="35"/>
      <c r="X9" s="34">
        <v>2</v>
      </c>
      <c r="Y9" s="35"/>
      <c r="Z9" s="35"/>
      <c r="AA9" s="35"/>
      <c r="AB9" s="35"/>
      <c r="AC9" s="35"/>
      <c r="AD9" s="35"/>
      <c r="AE9" s="35"/>
      <c r="AF9" s="36"/>
      <c r="AG9" s="24"/>
      <c r="AH9" s="35"/>
      <c r="AI9" s="35"/>
      <c r="AJ9" s="35"/>
      <c r="AK9" s="35"/>
      <c r="AL9" s="35"/>
      <c r="AM9" s="36"/>
    </row>
    <row r="10" ht="16.55" customHeight="1">
      <c r="A10" t="s" s="25">
        <v>16</v>
      </c>
      <c r="B10" t="s" s="26">
        <v>17</v>
      </c>
      <c r="C10" s="27"/>
      <c r="D10" s="27"/>
      <c r="E10" s="27"/>
      <c r="F10" s="27"/>
      <c r="G10" s="27"/>
      <c r="H10" s="28"/>
      <c r="I10" s="31">
        <v>2</v>
      </c>
      <c r="J10" s="28"/>
      <c r="K10" s="31">
        <v>4</v>
      </c>
      <c r="L10" s="28"/>
      <c r="M10" s="28"/>
      <c r="N10" s="28"/>
      <c r="O10" s="31">
        <v>1</v>
      </c>
      <c r="P10" s="31">
        <v>2</v>
      </c>
      <c r="Q10" s="28"/>
      <c r="R10" s="28"/>
      <c r="S10" s="31">
        <v>1</v>
      </c>
      <c r="T10" s="31">
        <v>3</v>
      </c>
      <c r="U10" s="31">
        <v>1</v>
      </c>
      <c r="V10" s="31">
        <v>1</v>
      </c>
      <c r="W10" s="27"/>
      <c r="X10" s="29">
        <v>1</v>
      </c>
      <c r="Y10" s="27"/>
      <c r="Z10" s="27"/>
      <c r="AA10" s="27"/>
      <c r="AB10" s="27"/>
      <c r="AC10" s="27"/>
      <c r="AD10" s="27"/>
      <c r="AE10" s="27"/>
      <c r="AF10" s="30"/>
      <c r="AG10" s="24"/>
      <c r="AH10" s="27"/>
      <c r="AI10" s="27"/>
      <c r="AJ10" s="27"/>
      <c r="AK10" s="27"/>
      <c r="AL10" s="27"/>
      <c r="AM10" s="30"/>
    </row>
    <row r="11" ht="16.55" customHeight="1">
      <c r="A11" t="s" s="25">
        <v>16</v>
      </c>
      <c r="B11" t="s" s="26">
        <v>18</v>
      </c>
      <c r="C11" s="27"/>
      <c r="D11" s="27"/>
      <c r="E11" s="27"/>
      <c r="F11" s="27"/>
      <c r="G11" s="27"/>
      <c r="H11" s="28"/>
      <c r="I11" s="28"/>
      <c r="J11" s="28"/>
      <c r="K11" s="28"/>
      <c r="L11" s="28"/>
      <c r="M11" s="28"/>
      <c r="N11" s="28"/>
      <c r="O11" s="31">
        <v>1</v>
      </c>
      <c r="P11" s="28"/>
      <c r="Q11" s="28"/>
      <c r="R11" s="28"/>
      <c r="S11" s="28"/>
      <c r="T11" s="28"/>
      <c r="U11" s="28"/>
      <c r="V11" s="31">
        <v>1</v>
      </c>
      <c r="W11" s="27"/>
      <c r="X11" s="27"/>
      <c r="Y11" s="27"/>
      <c r="Z11" s="27"/>
      <c r="AA11" s="27"/>
      <c r="AB11" s="27"/>
      <c r="AC11" s="27"/>
      <c r="AD11" s="27"/>
      <c r="AE11" s="27"/>
      <c r="AF11" s="30"/>
      <c r="AG11" s="24"/>
      <c r="AH11" s="27"/>
      <c r="AI11" s="27"/>
      <c r="AJ11" s="27"/>
      <c r="AK11" s="27"/>
      <c r="AL11" s="27"/>
      <c r="AM11" s="30"/>
    </row>
    <row r="12" ht="16.55" customHeight="1">
      <c r="A12" t="s" s="32">
        <v>19</v>
      </c>
      <c r="B12" t="s" s="33">
        <v>20</v>
      </c>
      <c r="C12" s="34">
        <v>2</v>
      </c>
      <c r="D12" s="35"/>
      <c r="E12" s="35"/>
      <c r="F12" s="34">
        <v>3</v>
      </c>
      <c r="G12" s="35"/>
      <c r="H12" s="34">
        <v>1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4">
        <v>5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6"/>
      <c r="AG12" s="24"/>
      <c r="AH12" s="35"/>
      <c r="AI12" s="35"/>
      <c r="AJ12" s="35"/>
      <c r="AK12" s="35"/>
      <c r="AL12" s="35"/>
      <c r="AM12" s="36"/>
    </row>
    <row r="13" ht="16.55" customHeight="1">
      <c r="A13" t="s" s="25">
        <v>21</v>
      </c>
      <c r="B13" t="s" s="26">
        <v>22</v>
      </c>
      <c r="C13" s="27"/>
      <c r="D13" s="27"/>
      <c r="E13" s="27"/>
      <c r="F13" s="27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7"/>
      <c r="X13" s="27"/>
      <c r="Y13" s="27"/>
      <c r="Z13" s="27"/>
      <c r="AA13" s="29">
        <v>1</v>
      </c>
      <c r="AB13" s="29">
        <v>1</v>
      </c>
      <c r="AC13" s="27"/>
      <c r="AD13" s="27"/>
      <c r="AE13" s="27"/>
      <c r="AF13" s="30"/>
      <c r="AG13" s="24"/>
      <c r="AH13" s="27"/>
      <c r="AI13" s="27"/>
      <c r="AJ13" s="27"/>
      <c r="AK13" s="27"/>
      <c r="AL13" s="27"/>
      <c r="AM13" s="30"/>
    </row>
    <row r="14" ht="16.55" customHeight="1">
      <c r="A14" t="s" s="25">
        <v>21</v>
      </c>
      <c r="B14" t="s" s="26">
        <v>23</v>
      </c>
      <c r="C14" s="27"/>
      <c r="D14" s="27"/>
      <c r="E14" s="27"/>
      <c r="F14" s="27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1">
        <v>1</v>
      </c>
      <c r="S14" s="31">
        <v>1</v>
      </c>
      <c r="T14" s="28"/>
      <c r="U14" s="28"/>
      <c r="V14" s="31">
        <v>1</v>
      </c>
      <c r="W14" s="29">
        <v>1</v>
      </c>
      <c r="X14" s="29">
        <v>1</v>
      </c>
      <c r="Y14" s="29">
        <v>1</v>
      </c>
      <c r="Z14" s="29">
        <v>1</v>
      </c>
      <c r="AA14" s="27"/>
      <c r="AB14" s="27"/>
      <c r="AC14" s="27"/>
      <c r="AD14" s="27"/>
      <c r="AE14" s="27"/>
      <c r="AF14" s="30"/>
      <c r="AG14" s="24"/>
      <c r="AH14" s="27"/>
      <c r="AI14" s="27"/>
      <c r="AJ14" s="27"/>
      <c r="AK14" s="27"/>
      <c r="AL14" s="27"/>
      <c r="AM14" s="30"/>
    </row>
    <row r="15" ht="16.55" customHeight="1">
      <c r="A15" t="s" s="25">
        <v>21</v>
      </c>
      <c r="B15" t="s" s="26">
        <v>24</v>
      </c>
      <c r="C15" s="27"/>
      <c r="D15" s="27"/>
      <c r="E15" s="27"/>
      <c r="F15" s="27"/>
      <c r="G15" s="27"/>
      <c r="H15" s="28"/>
      <c r="I15" s="31">
        <v>1</v>
      </c>
      <c r="J15" s="31">
        <v>1</v>
      </c>
      <c r="K15" s="31">
        <v>3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7"/>
      <c r="X15" s="27"/>
      <c r="Y15" s="27"/>
      <c r="Z15" s="27"/>
      <c r="AA15" s="27"/>
      <c r="AB15" s="27"/>
      <c r="AC15" s="27"/>
      <c r="AD15" s="27"/>
      <c r="AE15" s="27"/>
      <c r="AF15" s="30"/>
      <c r="AG15" s="24"/>
      <c r="AH15" s="27"/>
      <c r="AI15" s="27"/>
      <c r="AJ15" s="27"/>
      <c r="AK15" s="27"/>
      <c r="AL15" s="27"/>
      <c r="AM15" s="30"/>
    </row>
    <row r="16" ht="16.55" customHeight="1">
      <c r="A16" t="s" s="37">
        <v>25</v>
      </c>
      <c r="B16" t="s" s="38">
        <v>26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>
        <v>1</v>
      </c>
      <c r="Q16" s="40">
        <v>1</v>
      </c>
      <c r="R16" s="39"/>
      <c r="S16" s="40">
        <v>2</v>
      </c>
      <c r="T16" s="39"/>
      <c r="U16" s="40">
        <v>1</v>
      </c>
      <c r="V16" s="39"/>
      <c r="W16" s="39"/>
      <c r="X16" s="39"/>
      <c r="Y16" s="40">
        <v>2</v>
      </c>
      <c r="Z16" s="39"/>
      <c r="AA16" s="39"/>
      <c r="AB16" s="40">
        <v>1</v>
      </c>
      <c r="AC16" s="39"/>
      <c r="AD16" s="39"/>
      <c r="AE16" s="39"/>
      <c r="AF16" s="41"/>
      <c r="AG16" s="24"/>
      <c r="AH16" s="39"/>
      <c r="AI16" s="39"/>
      <c r="AJ16" s="39"/>
      <c r="AK16" s="39"/>
      <c r="AL16" s="39"/>
      <c r="AM16" s="41"/>
    </row>
    <row r="17" ht="16.55" customHeight="1">
      <c r="A17" t="s" s="25">
        <v>27</v>
      </c>
      <c r="B17" t="s" s="19">
        <v>28</v>
      </c>
      <c r="C17" s="27"/>
      <c r="D17" s="27"/>
      <c r="E17" s="27"/>
      <c r="F17" s="27"/>
      <c r="G17" s="29">
        <v>1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31">
        <v>1</v>
      </c>
      <c r="T17" s="31">
        <v>1</v>
      </c>
      <c r="U17" s="31">
        <v>4</v>
      </c>
      <c r="V17" s="31">
        <v>3</v>
      </c>
      <c r="W17" s="27"/>
      <c r="X17" s="27"/>
      <c r="Y17" s="27"/>
      <c r="Z17" s="27"/>
      <c r="AA17" s="27"/>
      <c r="AB17" s="27"/>
      <c r="AC17" s="27"/>
      <c r="AD17" s="27"/>
      <c r="AE17" s="27"/>
      <c r="AF17" s="30"/>
      <c r="AG17" s="24"/>
      <c r="AH17" s="27"/>
      <c r="AI17" s="27"/>
      <c r="AJ17" s="27"/>
      <c r="AK17" s="27"/>
      <c r="AL17" s="27"/>
      <c r="AM17" s="30"/>
    </row>
    <row r="18" ht="16.55" customHeight="1">
      <c r="A18" t="s" s="25">
        <v>27</v>
      </c>
      <c r="B18" t="s" s="26">
        <v>29</v>
      </c>
      <c r="C18" s="27"/>
      <c r="D18" s="27"/>
      <c r="E18" s="27"/>
      <c r="F18" s="27"/>
      <c r="G18" s="29">
        <v>1</v>
      </c>
      <c r="H18" s="28"/>
      <c r="I18" s="31">
        <v>3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7"/>
      <c r="X18" s="29">
        <v>1</v>
      </c>
      <c r="Y18" s="29">
        <v>1</v>
      </c>
      <c r="Z18" s="29">
        <v>2</v>
      </c>
      <c r="AA18" s="29">
        <v>2</v>
      </c>
      <c r="AB18" s="27"/>
      <c r="AC18" s="27"/>
      <c r="AD18" s="27"/>
      <c r="AE18" s="27"/>
      <c r="AF18" s="30"/>
      <c r="AG18" s="24"/>
      <c r="AH18" s="27"/>
      <c r="AI18" s="27"/>
      <c r="AJ18" s="27"/>
      <c r="AK18" s="27"/>
      <c r="AL18" s="27"/>
      <c r="AM18" s="30"/>
    </row>
    <row r="19" ht="16.55" customHeight="1">
      <c r="A19" t="s" s="25">
        <v>27</v>
      </c>
      <c r="B19" t="s" s="26">
        <v>30</v>
      </c>
      <c r="C19" s="27"/>
      <c r="D19" s="27"/>
      <c r="E19" s="27"/>
      <c r="F19" s="27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7"/>
      <c r="X19" s="29">
        <v>1</v>
      </c>
      <c r="Y19" s="27"/>
      <c r="Z19" s="29">
        <v>1</v>
      </c>
      <c r="AA19" s="29">
        <v>3</v>
      </c>
      <c r="AB19" s="29">
        <v>2</v>
      </c>
      <c r="AC19" s="27"/>
      <c r="AD19" s="27"/>
      <c r="AE19" s="27"/>
      <c r="AF19" s="30"/>
      <c r="AG19" s="24"/>
      <c r="AH19" s="27"/>
      <c r="AI19" s="27"/>
      <c r="AJ19" s="27"/>
      <c r="AK19" s="27"/>
      <c r="AL19" s="27"/>
      <c r="AM19" s="30"/>
    </row>
    <row r="20" ht="16.55" customHeight="1">
      <c r="A20" t="s" s="25">
        <v>27</v>
      </c>
      <c r="B20" t="s" s="26">
        <v>31</v>
      </c>
      <c r="C20" s="42"/>
      <c r="D20" s="43"/>
      <c r="E20" s="43"/>
      <c r="F20" s="43"/>
      <c r="G20" s="44"/>
      <c r="H20" s="31">
        <v>6</v>
      </c>
      <c r="I20" s="31">
        <v>2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7"/>
      <c r="X20" s="27"/>
      <c r="Y20" s="27"/>
      <c r="Z20" s="27"/>
      <c r="AA20" s="27"/>
      <c r="AB20" s="27"/>
      <c r="AC20" s="27"/>
      <c r="AD20" s="27"/>
      <c r="AE20" s="27"/>
      <c r="AF20" s="30"/>
      <c r="AG20" s="24"/>
      <c r="AH20" s="27"/>
      <c r="AI20" s="27"/>
      <c r="AJ20" s="27"/>
      <c r="AK20" s="27"/>
      <c r="AL20" s="27"/>
      <c r="AM20" s="30"/>
    </row>
    <row r="21" ht="16.55" customHeight="1">
      <c r="A21" t="s" s="25">
        <v>27</v>
      </c>
      <c r="B21" t="s" s="26">
        <v>32</v>
      </c>
      <c r="C21" s="45"/>
      <c r="D21" s="46"/>
      <c r="E21" s="46"/>
      <c r="F21" s="46"/>
      <c r="G21" s="47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31">
        <v>1</v>
      </c>
      <c r="W21" s="27"/>
      <c r="X21" s="29">
        <v>1</v>
      </c>
      <c r="Y21" s="27"/>
      <c r="Z21" s="27"/>
      <c r="AA21" s="27"/>
      <c r="AB21" s="27"/>
      <c r="AC21" s="27"/>
      <c r="AD21" s="27"/>
      <c r="AE21" s="27"/>
      <c r="AF21" s="30"/>
      <c r="AG21" s="24"/>
      <c r="AH21" s="27"/>
      <c r="AI21" s="27"/>
      <c r="AJ21" s="27"/>
      <c r="AK21" s="27"/>
      <c r="AL21" s="27"/>
      <c r="AM21" s="30"/>
    </row>
    <row r="22" ht="16.55" customHeight="1">
      <c r="A22" t="s" s="48">
        <v>33</v>
      </c>
      <c r="B22" t="s" s="49">
        <v>34</v>
      </c>
      <c r="C22" s="50"/>
      <c r="D22" s="51"/>
      <c r="E22" s="51"/>
      <c r="F22" s="51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>
        <v>2</v>
      </c>
      <c r="X22" s="54">
        <v>1</v>
      </c>
      <c r="Y22" s="54">
        <v>1</v>
      </c>
      <c r="Z22" s="54">
        <v>2</v>
      </c>
      <c r="AA22" s="54">
        <v>2</v>
      </c>
      <c r="AB22" s="53"/>
      <c r="AC22" s="53"/>
      <c r="AD22" s="53"/>
      <c r="AE22" s="53"/>
      <c r="AF22" s="55"/>
      <c r="AG22" s="24"/>
      <c r="AH22" s="53"/>
      <c r="AI22" s="53"/>
      <c r="AJ22" s="53"/>
      <c r="AK22" s="53"/>
      <c r="AL22" s="53"/>
      <c r="AM22" s="55"/>
    </row>
    <row r="23" ht="16.55" customHeight="1">
      <c r="A23" s="56"/>
      <c r="B23" t="s" s="57">
        <v>35</v>
      </c>
      <c r="C23" s="20">
        <f>SUM(C3:C22)</f>
        <v>4</v>
      </c>
      <c r="D23" s="20">
        <f>SUM(D3:D22)</f>
        <v>3</v>
      </c>
      <c r="E23" s="20">
        <f>SUM(E3:E22)</f>
        <v>7</v>
      </c>
      <c r="F23" s="20">
        <f>SUM(F3:F22)</f>
        <v>13</v>
      </c>
      <c r="G23" s="20">
        <f>SUM(G3:G22)</f>
        <v>5</v>
      </c>
      <c r="H23" s="58">
        <f>SUM(H3:H22)</f>
        <v>14</v>
      </c>
      <c r="I23" s="58">
        <f>SUM(I3:I22)</f>
        <v>10</v>
      </c>
      <c r="J23" s="58">
        <f>SUM(J3:J22)</f>
        <v>8</v>
      </c>
      <c r="K23" s="58">
        <f>SUM(K3:K22)</f>
        <v>8</v>
      </c>
      <c r="L23" s="58">
        <f>SUM(L3:L22)</f>
        <v>5</v>
      </c>
      <c r="M23" s="58">
        <f>SUM(M3:M22)</f>
        <v>8</v>
      </c>
      <c r="N23" s="58">
        <f>SUM(N3:N22)</f>
        <v>2</v>
      </c>
      <c r="O23" s="58">
        <f>SUM(O3:O22)</f>
        <v>4</v>
      </c>
      <c r="P23" s="58">
        <f>SUM(P3:P22)</f>
        <v>6</v>
      </c>
      <c r="Q23" s="58">
        <f>SUM(Q3:Q22)</f>
        <v>1</v>
      </c>
      <c r="R23" s="58">
        <f>SUM(R3:R22)</f>
        <v>3</v>
      </c>
      <c r="S23" s="58">
        <f>SUM(S3:S22)</f>
        <v>7</v>
      </c>
      <c r="T23" s="58">
        <f>SUM(T3:T22)</f>
        <v>9</v>
      </c>
      <c r="U23" s="58">
        <f>SUM(U3:U22)</f>
        <v>7</v>
      </c>
      <c r="V23" s="58">
        <f>SUM(V3:V22)</f>
        <v>7</v>
      </c>
      <c r="W23" s="58">
        <f>SUM(W3:W22)</f>
        <v>3</v>
      </c>
      <c r="X23" s="58">
        <f>SUM(X3:X22)</f>
        <v>9</v>
      </c>
      <c r="Y23" s="58">
        <f>SUM(Y3:Y22)</f>
        <v>5</v>
      </c>
      <c r="Z23" s="58">
        <f>SUM(Z3:Z22)</f>
        <v>6</v>
      </c>
      <c r="AA23" s="58">
        <f>SUM(AA3:AA22)</f>
        <v>8</v>
      </c>
      <c r="AB23" s="58">
        <f>SUM(AB3:AB22)</f>
        <v>4</v>
      </c>
      <c r="AC23" s="58">
        <f>SUM(AC3:AC22)</f>
        <v>0</v>
      </c>
      <c r="AD23" s="58">
        <f>SUM(AD3:AD22)</f>
        <v>0</v>
      </c>
      <c r="AE23" s="58">
        <f>SUM(AE3:AE22)</f>
        <v>0</v>
      </c>
      <c r="AF23" s="58">
        <f>SUM(AF3:AF22)</f>
        <v>0</v>
      </c>
      <c r="AG23" s="59"/>
      <c r="AH23" s="58">
        <f>SUM(AH3:AH22)</f>
        <v>0</v>
      </c>
      <c r="AI23" s="58">
        <f>SUM(AI3:AI22)</f>
        <v>0</v>
      </c>
      <c r="AJ23" s="58">
        <f>SUM(AJ3:AJ22)</f>
        <v>0</v>
      </c>
      <c r="AK23" s="58">
        <f>SUM(AK3:AK22)</f>
        <v>0</v>
      </c>
      <c r="AL23" s="58">
        <f>SUM(AL3:AL22)</f>
        <v>0</v>
      </c>
      <c r="AM23" s="58">
        <f>SUM(AM3:AM22)</f>
        <v>0</v>
      </c>
    </row>
    <row r="24" ht="16.55" customHeight="1">
      <c r="A24" s="60"/>
      <c r="B24" t="s" s="61">
        <v>36</v>
      </c>
      <c r="C24" s="29">
        <v>4</v>
      </c>
      <c r="D24" s="29">
        <v>3</v>
      </c>
      <c r="E24" s="29">
        <v>15</v>
      </c>
      <c r="F24" s="29">
        <v>2</v>
      </c>
      <c r="G24" s="29">
        <v>4</v>
      </c>
      <c r="H24" s="29">
        <v>1</v>
      </c>
      <c r="I24" s="29">
        <v>10</v>
      </c>
      <c r="J24" s="29">
        <v>5</v>
      </c>
      <c r="K24" s="29">
        <v>2</v>
      </c>
      <c r="L24" s="29">
        <v>5</v>
      </c>
      <c r="M24" s="29">
        <v>1</v>
      </c>
      <c r="N24" s="29">
        <v>2</v>
      </c>
      <c r="O24" s="29">
        <v>4</v>
      </c>
      <c r="P24" s="29">
        <v>4</v>
      </c>
      <c r="Q24" s="29">
        <v>0</v>
      </c>
      <c r="R24" s="29">
        <v>3</v>
      </c>
      <c r="S24" s="29">
        <v>4</v>
      </c>
      <c r="T24" s="31">
        <v>6</v>
      </c>
      <c r="U24" s="31">
        <v>8</v>
      </c>
      <c r="V24" s="31">
        <v>8</v>
      </c>
      <c r="W24" s="29">
        <v>5</v>
      </c>
      <c r="X24" s="29">
        <v>1</v>
      </c>
      <c r="Y24" s="29">
        <v>4</v>
      </c>
      <c r="Z24" s="29">
        <v>2</v>
      </c>
      <c r="AA24" s="29">
        <v>4</v>
      </c>
      <c r="AB24" s="29">
        <v>4</v>
      </c>
      <c r="AC24" s="27"/>
      <c r="AD24" s="27"/>
      <c r="AE24" s="27"/>
      <c r="AF24" s="30"/>
      <c r="AG24" s="24"/>
      <c r="AH24" s="27"/>
      <c r="AI24" s="27"/>
      <c r="AJ24" s="27"/>
      <c r="AK24" s="27"/>
      <c r="AL24" s="27"/>
      <c r="AM24" s="30"/>
    </row>
    <row r="25" ht="16.55" customHeight="1">
      <c r="A25" s="62"/>
      <c r="B25" t="s" s="63">
        <v>37</v>
      </c>
      <c r="C25" s="64">
        <f>COUNT(C6:C21)</f>
        <v>2</v>
      </c>
      <c r="D25" s="64">
        <f>COUNT(D6:D21)</f>
        <v>2</v>
      </c>
      <c r="E25" s="64">
        <f>COUNT(E6:E21)</f>
        <v>2</v>
      </c>
      <c r="F25" s="64">
        <f>COUNT(F6:F21)</f>
        <v>3</v>
      </c>
      <c r="G25" s="64">
        <v>2</v>
      </c>
      <c r="H25" s="64">
        <f>COUNT(H3:H20)</f>
        <v>4</v>
      </c>
      <c r="I25" s="64">
        <v>4</v>
      </c>
      <c r="J25" s="64">
        <v>2</v>
      </c>
      <c r="K25" s="64">
        <f>COUNT(K3:K20)</f>
        <v>3</v>
      </c>
      <c r="L25" s="64">
        <f>COUNT(L3:L20)</f>
        <v>1</v>
      </c>
      <c r="M25" s="64">
        <f>COUNT(M3:M20)</f>
        <v>1</v>
      </c>
      <c r="N25" s="64">
        <f>COUNT(N3:N20)</f>
        <v>2</v>
      </c>
      <c r="O25" s="64">
        <v>2</v>
      </c>
      <c r="P25" s="64">
        <f>COUNT(P3:P20)</f>
        <v>3</v>
      </c>
      <c r="Q25" s="64">
        <f>COUNT(Q3:Q20)</f>
        <v>1</v>
      </c>
      <c r="R25" s="64">
        <f>COUNT(R3:R20)</f>
        <v>2</v>
      </c>
      <c r="S25" s="64">
        <f>COUNT(S3:S20)</f>
        <v>6</v>
      </c>
      <c r="T25" s="65">
        <f>COUNT(T3:T20)</f>
        <v>3</v>
      </c>
      <c r="U25" s="65">
        <v>4</v>
      </c>
      <c r="V25" s="66">
        <v>3</v>
      </c>
      <c r="W25" s="29">
        <v>2</v>
      </c>
      <c r="X25" s="29">
        <v>6</v>
      </c>
      <c r="Y25" s="29">
        <v>4</v>
      </c>
      <c r="Z25" s="29">
        <v>3</v>
      </c>
      <c r="AA25" s="29">
        <v>3</v>
      </c>
      <c r="AB25" s="29">
        <v>2</v>
      </c>
      <c r="AC25" s="27"/>
      <c r="AD25" s="27"/>
      <c r="AE25" s="27"/>
      <c r="AF25" s="30"/>
      <c r="AG25" s="24"/>
      <c r="AH25" s="27"/>
      <c r="AI25" s="27"/>
      <c r="AJ25" s="27"/>
      <c r="AK25" s="27"/>
      <c r="AL25" s="27"/>
      <c r="AM25" s="30"/>
    </row>
    <row r="26" ht="16.55" customHeight="1">
      <c r="A26" s="67"/>
      <c r="B26" t="s" s="68">
        <v>38</v>
      </c>
      <c r="C26" s="69"/>
      <c r="D26" s="69"/>
      <c r="E26" s="69"/>
      <c r="F26" s="69"/>
      <c r="G26" s="69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1"/>
      <c r="U26" s="71"/>
      <c r="V26" s="71"/>
      <c r="W26" s="72"/>
      <c r="X26" s="73"/>
      <c r="Y26" t="s" s="74">
        <v>39</v>
      </c>
      <c r="Z26" s="75"/>
      <c r="AA26" s="73"/>
      <c r="AB26" s="73"/>
      <c r="AC26" s="73"/>
      <c r="AD26" s="73"/>
      <c r="AE26" s="73"/>
      <c r="AF26" s="76"/>
      <c r="AG26" s="24"/>
      <c r="AH26" s="73"/>
      <c r="AI26" s="73"/>
      <c r="AJ26" s="73"/>
      <c r="AK26" s="73"/>
      <c r="AL26" s="73"/>
      <c r="AM26" s="76"/>
    </row>
    <row r="27" ht="16.55" customHeight="1">
      <c r="A27" s="67"/>
      <c r="B27" t="s" s="77">
        <v>40</v>
      </c>
      <c r="C27" s="73"/>
      <c r="D27" s="73"/>
      <c r="E27" s="73"/>
      <c r="F27" s="73"/>
      <c r="G27" s="73"/>
      <c r="H27" s="78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t="s" s="79">
        <v>41</v>
      </c>
      <c r="W27" t="s" s="80">
        <v>42</v>
      </c>
      <c r="X27" t="s" s="80">
        <v>42</v>
      </c>
      <c r="Y27" s="81"/>
      <c r="Z27" t="s" s="82">
        <v>42</v>
      </c>
      <c r="AA27" s="81"/>
      <c r="AB27" s="81"/>
      <c r="AC27" s="81"/>
      <c r="AD27" s="81"/>
      <c r="AE27" s="81"/>
      <c r="AF27" s="83"/>
      <c r="AG27" s="24"/>
      <c r="AH27" s="81"/>
      <c r="AI27" s="81"/>
      <c r="AJ27" s="81"/>
      <c r="AK27" s="81"/>
      <c r="AL27" s="81"/>
      <c r="AM27" s="83"/>
    </row>
    <row r="28" ht="16.55" customHeight="1">
      <c r="A28" s="84"/>
      <c r="B28" t="s" s="85">
        <v>43</v>
      </c>
      <c r="C28" s="73"/>
      <c r="D28" s="73"/>
      <c r="E28" s="73"/>
      <c r="F28" s="73"/>
      <c r="G28" s="73"/>
      <c r="H28" s="86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8"/>
      <c r="W28" t="s" s="89">
        <v>44</v>
      </c>
      <c r="X28" s="90">
        <v>6</v>
      </c>
      <c r="Y28" s="90">
        <v>4</v>
      </c>
      <c r="Z28" s="90">
        <v>4</v>
      </c>
      <c r="AA28" s="91">
        <v>3</v>
      </c>
      <c r="AB28" s="92">
        <v>4</v>
      </c>
      <c r="AC28" s="93"/>
      <c r="AD28" s="93"/>
      <c r="AE28" s="93"/>
      <c r="AF28" s="94"/>
      <c r="AG28" s="95"/>
      <c r="AH28" s="93"/>
      <c r="AI28" s="93"/>
      <c r="AJ28" s="93"/>
      <c r="AK28" s="93"/>
      <c r="AL28" s="93"/>
      <c r="AM28" s="94"/>
    </row>
  </sheetData>
  <pageMargins left="0.751969" right="0.751969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